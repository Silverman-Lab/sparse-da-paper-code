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QBiC/Manuscript/BarBIQ/For Natcomm/Revise/Final_revision/For submit/"/>
    </mc:Choice>
  </mc:AlternateContent>
  <xr:revisionPtr revIDLastSave="0" documentId="13_ncr:1_{2D859CBD-7B35-B743-B8B3-5799F04EFFCA}" xr6:coauthVersionLast="36" xr6:coauthVersionMax="47" xr10:uidLastSave="{00000000-0000-0000-0000-000000000000}"/>
  <bookViews>
    <workbookView xWindow="0" yWindow="460" windowWidth="33600" windowHeight="20540" xr2:uid="{2A3FCE85-239C-CD4A-87C3-4BBB83F3A685}"/>
  </bookViews>
  <sheets>
    <sheet name="Read me" sheetId="3" r:id="rId1"/>
    <sheet name="Mock community" sheetId="1" r:id="rId2"/>
    <sheet name="VA group" sheetId="2" r:id="rId3"/>
  </sheets>
  <definedNames>
    <definedName name="Table6_data_for_ASV_abundance_Mock_sheet" localSheetId="1">'Mock community'!$A$2:$C$30</definedName>
    <definedName name="Table6_data_for_ASV_abundance_VA_group_sheet" localSheetId="2">'VA group'!$A$2:$Q$598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1" l="1"/>
  <c r="G30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" i="1"/>
  <c r="G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" i="1"/>
  <c r="F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0F69B-B300-6741-B483-BE2A21F36A2F}" name="Table6_data_for_ASV_abundance_Mock_sheet" type="6" refreshedVersion="6" deleted="1" background="1" saveData="1">
    <textPr sourceFile="/QBiC/Manuscript/BarBIQ/For Natcomm/Revise/Tables/Table6_data_for_ASV_abundance_Mock_sheet.txt">
      <textFields count="3">
        <textField/>
        <textField/>
        <textField/>
      </textFields>
    </textPr>
  </connection>
  <connection id="2" xr16:uid="{5D67CCEA-A6B3-354B-B4DD-6998986C185D}" name="Table6_data_for_ASV_abundance_VA_group_sheet" type="6" refreshedVersion="6" deleted="1" background="1" saveData="1">
    <textPr sourceFile="/QBiC/Manuscript/BarBIQ/For Natcomm/Revise/Tables/Table6_data_for_ASV_abundance_VA_group_sheet.txt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<sst xmlns="http://schemas.openxmlformats.org/spreadsheetml/2006/main" count="661" uniqueCount="659">
  <si>
    <t>ASV-ID</t>
  </si>
  <si>
    <t>Technical-replicate-1</t>
  </si>
  <si>
    <t>Technical-replicate-2</t>
  </si>
  <si>
    <t>ASV-MK-1</t>
  </si>
  <si>
    <t>ASV-MK-2</t>
  </si>
  <si>
    <t>ASV-MK-3</t>
  </si>
  <si>
    <t>ASV-MK-4</t>
  </si>
  <si>
    <t>ASV-MK-5</t>
  </si>
  <si>
    <t>ASV-MK-6</t>
  </si>
  <si>
    <t>ASV-MK-7</t>
  </si>
  <si>
    <t>ASV-MK-8</t>
  </si>
  <si>
    <t>ASV-MK-9</t>
  </si>
  <si>
    <t>ASV-MK-10</t>
  </si>
  <si>
    <t>ASV-MK-11</t>
  </si>
  <si>
    <t>ASV-MK-12</t>
  </si>
  <si>
    <t>ASV-MK-13</t>
  </si>
  <si>
    <t>ASV-MK-14</t>
  </si>
  <si>
    <t>ASV-MK-15</t>
  </si>
  <si>
    <t>ASV-MK-16</t>
  </si>
  <si>
    <t>ASV-MK-17</t>
  </si>
  <si>
    <t>ASV-MK-18</t>
  </si>
  <si>
    <t>ASV-MK-19</t>
  </si>
  <si>
    <t>ASV-MK-20</t>
  </si>
  <si>
    <t>ASV-MK-21</t>
  </si>
  <si>
    <t>ASV-MK-22</t>
  </si>
  <si>
    <t>ASV-MK-23</t>
  </si>
  <si>
    <t>ASV-MK-24</t>
  </si>
  <si>
    <t>ASV-MK-25</t>
  </si>
  <si>
    <t>ASV-MK-26</t>
  </si>
  <si>
    <t>ASV-MK-27</t>
  </si>
  <si>
    <t>ASV-MK-28</t>
  </si>
  <si>
    <t>ASV-CM-1</t>
  </si>
  <si>
    <t>ASV-CM-2</t>
  </si>
  <si>
    <t>ASV-CM-3</t>
  </si>
  <si>
    <t>ASV-CM-4</t>
  </si>
  <si>
    <t>ASV-CM-5</t>
  </si>
  <si>
    <t>ASV-CM-6</t>
  </si>
  <si>
    <t>ASV-CM-7</t>
  </si>
  <si>
    <t>ASV-CM-8</t>
  </si>
  <si>
    <t>ASV-CM-9</t>
  </si>
  <si>
    <t>ASV-CM-10</t>
  </si>
  <si>
    <t>ASV-CM-11</t>
  </si>
  <si>
    <t>ASV-CM-12</t>
  </si>
  <si>
    <t>ASV-CM-13</t>
  </si>
  <si>
    <t>ASV-CM-14</t>
  </si>
  <si>
    <t>ASV-CM-15</t>
  </si>
  <si>
    <t>ASV-CM-16</t>
  </si>
  <si>
    <t>ASV-CM-17</t>
  </si>
  <si>
    <t>ASV-CM-18</t>
  </si>
  <si>
    <t>ASV-CM-19</t>
  </si>
  <si>
    <t>ASV-CM-20</t>
  </si>
  <si>
    <t>ASV-CM-21</t>
  </si>
  <si>
    <t>ASV-CM-22</t>
  </si>
  <si>
    <t>ASV-CM-23</t>
  </si>
  <si>
    <t>ASV-CM-24</t>
  </si>
  <si>
    <t>ASV-CM-25</t>
  </si>
  <si>
    <t>ASV-CM-26</t>
  </si>
  <si>
    <t>ASV-CM-27</t>
  </si>
  <si>
    <t>ASV-CM-28</t>
  </si>
  <si>
    <t>ASV-CM-29</t>
  </si>
  <si>
    <t>ASV-CM-30</t>
  </si>
  <si>
    <t>ASV-CM-31</t>
  </si>
  <si>
    <t>ASV-CM-32</t>
  </si>
  <si>
    <t>ASV-CM-33</t>
  </si>
  <si>
    <t>ASV-CM-34</t>
  </si>
  <si>
    <t>ASV-CM-35</t>
  </si>
  <si>
    <t>ASV-CM-36</t>
  </si>
  <si>
    <t>ASV-CM-37</t>
  </si>
  <si>
    <t>ASV-CM-38</t>
  </si>
  <si>
    <t>ASV-CM-39</t>
  </si>
  <si>
    <t>ASV-CM-40</t>
  </si>
  <si>
    <t>ASV-CM-41</t>
  </si>
  <si>
    <t>ASV-CM-42</t>
  </si>
  <si>
    <t>ASV-CM-43</t>
  </si>
  <si>
    <t>ASV-CM-44</t>
  </si>
  <si>
    <t>ASV-CM-45</t>
  </si>
  <si>
    <t>ASV-CM-46</t>
  </si>
  <si>
    <t>ASV-CM-47</t>
  </si>
  <si>
    <t>ASV-CM-48</t>
  </si>
  <si>
    <t>ASV-CM-49</t>
  </si>
  <si>
    <t>ASV-CM-50</t>
  </si>
  <si>
    <t>ASV-CM-51</t>
  </si>
  <si>
    <t>ASV-CM-52</t>
  </si>
  <si>
    <t>ASV-CM-53</t>
  </si>
  <si>
    <t>ASV-CM-54</t>
  </si>
  <si>
    <t>ASV-CM-55</t>
  </si>
  <si>
    <t>ASV-CM-56</t>
  </si>
  <si>
    <t>ASV-CM-57</t>
  </si>
  <si>
    <t>ASV-CM-58</t>
  </si>
  <si>
    <t>ASV-CM-59</t>
  </si>
  <si>
    <t>ASV-CM-60</t>
  </si>
  <si>
    <t>ASV-CM-61</t>
  </si>
  <si>
    <t>ASV-CM-62</t>
  </si>
  <si>
    <t>ASV-CM-63</t>
  </si>
  <si>
    <t>ASV-CM-64</t>
  </si>
  <si>
    <t>ASV-CM-65</t>
  </si>
  <si>
    <t>ASV-CM-66</t>
  </si>
  <si>
    <t>ASV-CM-67</t>
  </si>
  <si>
    <t>ASV-CM-68</t>
  </si>
  <si>
    <t>ASV-CM-69</t>
  </si>
  <si>
    <t>ASV-CM-70</t>
  </si>
  <si>
    <t>ASV-CM-71</t>
  </si>
  <si>
    <t>ASV-CM-72</t>
  </si>
  <si>
    <t>ASV-CM-73</t>
  </si>
  <si>
    <t>ASV-CM-74</t>
  </si>
  <si>
    <t>ASV-CM-75</t>
  </si>
  <si>
    <t>ASV-CM-76</t>
  </si>
  <si>
    <t>ASV-CM-77</t>
  </si>
  <si>
    <t>ASV-CM-78</t>
  </si>
  <si>
    <t>ASV-CM-79</t>
  </si>
  <si>
    <t>ASV-CM-80</t>
  </si>
  <si>
    <t>ASV-CM-81</t>
  </si>
  <si>
    <t>ASV-CM-82</t>
  </si>
  <si>
    <t>ASV-CM-83</t>
  </si>
  <si>
    <t>ASV-CM-84</t>
  </si>
  <si>
    <t>ASV-CM-85</t>
  </si>
  <si>
    <t>ASV-CM-86</t>
  </si>
  <si>
    <t>ASV-CM-87</t>
  </si>
  <si>
    <t>ASV-CM-88</t>
  </si>
  <si>
    <t>ASV-CM-89</t>
  </si>
  <si>
    <t>ASV-CM-90</t>
  </si>
  <si>
    <t>ASV-CM-91</t>
  </si>
  <si>
    <t>ASV-CM-92</t>
  </si>
  <si>
    <t>ASV-CM-93</t>
  </si>
  <si>
    <t>ASV-CM-94</t>
  </si>
  <si>
    <t>ASV-CM-95</t>
  </si>
  <si>
    <t>ASV-CM-96</t>
  </si>
  <si>
    <t>ASV-CM-97</t>
  </si>
  <si>
    <t>ASV-CM-98</t>
  </si>
  <si>
    <t>ASV-CM-99</t>
  </si>
  <si>
    <t>ASV-CM-100</t>
  </si>
  <si>
    <t>ASV-CM-101</t>
  </si>
  <si>
    <t>ASV-CM-102</t>
  </si>
  <si>
    <t>ASV-CM-103</t>
  </si>
  <si>
    <t>ASV-CM-104</t>
  </si>
  <si>
    <t>ASV-CM-105</t>
  </si>
  <si>
    <t>ASV-CM-106</t>
  </si>
  <si>
    <t>ASV-CM-107</t>
  </si>
  <si>
    <t>ASV-CM-108</t>
  </si>
  <si>
    <t>ASV-CM-109</t>
  </si>
  <si>
    <t>ASV-CM-110</t>
  </si>
  <si>
    <t>ASV-CM-111</t>
  </si>
  <si>
    <t>ASV-CM-112</t>
  </si>
  <si>
    <t>ASV-CM-113</t>
  </si>
  <si>
    <t>ASV-CM-114</t>
  </si>
  <si>
    <t>ASV-CM-115</t>
  </si>
  <si>
    <t>ASV-CM-116</t>
  </si>
  <si>
    <t>ASV-CM-117</t>
  </si>
  <si>
    <t>ASV-CM-118</t>
  </si>
  <si>
    <t>ASV-CM-119</t>
  </si>
  <si>
    <t>ASV-CM-120</t>
  </si>
  <si>
    <t>ASV-CM-121</t>
  </si>
  <si>
    <t>ASV-CM-122</t>
  </si>
  <si>
    <t>ASV-CM-123</t>
  </si>
  <si>
    <t>ASV-CM-124</t>
  </si>
  <si>
    <t>ASV-CM-125</t>
  </si>
  <si>
    <t>ASV-CM-126</t>
  </si>
  <si>
    <t>ASV-CM-127</t>
  </si>
  <si>
    <t>ASV-CM-128</t>
  </si>
  <si>
    <t>ASV-CM-129</t>
  </si>
  <si>
    <t>ASV-CM-130</t>
  </si>
  <si>
    <t>ASV-CM-131</t>
  </si>
  <si>
    <t>ASV-CM-132</t>
  </si>
  <si>
    <t>ASV-CM-133</t>
  </si>
  <si>
    <t>ASV-CM-134</t>
  </si>
  <si>
    <t>ASV-CM-135</t>
  </si>
  <si>
    <t>ASV-CM-136</t>
  </si>
  <si>
    <t>ASV-CM-137</t>
  </si>
  <si>
    <t>ASV-CM-138</t>
  </si>
  <si>
    <t>ASV-CM-139</t>
  </si>
  <si>
    <t>ASV-CM-140</t>
  </si>
  <si>
    <t>ASV-CM-141</t>
  </si>
  <si>
    <t>ASV-CM-142</t>
  </si>
  <si>
    <t>ASV-CM-143</t>
  </si>
  <si>
    <t>ASV-CM-144</t>
  </si>
  <si>
    <t>ASV-CM-145</t>
  </si>
  <si>
    <t>ASV-CM-146</t>
  </si>
  <si>
    <t>ASV-CM-147</t>
  </si>
  <si>
    <t>ASV-CM-148</t>
  </si>
  <si>
    <t>ASV-CM-149</t>
  </si>
  <si>
    <t>ASV-CM-150</t>
  </si>
  <si>
    <t>ASV-CM-151</t>
  </si>
  <si>
    <t>ASV-CM-152</t>
  </si>
  <si>
    <t>ASV-CM-153</t>
  </si>
  <si>
    <t>ASV-CM-154</t>
  </si>
  <si>
    <t>ASV-CM-155</t>
  </si>
  <si>
    <t>ASV-CM-156</t>
  </si>
  <si>
    <t>ASV-CM-157</t>
  </si>
  <si>
    <t>ASV-CM-158</t>
  </si>
  <si>
    <t>ASV-CM-159</t>
  </si>
  <si>
    <t>ASV-CM-160</t>
  </si>
  <si>
    <t>ASV-CM-161</t>
  </si>
  <si>
    <t>ASV-CM-162</t>
  </si>
  <si>
    <t>ASV-CM-163</t>
  </si>
  <si>
    <t>ASV-CM-164</t>
  </si>
  <si>
    <t>ASV-CM-165</t>
  </si>
  <si>
    <t>ASV-CM-166</t>
  </si>
  <si>
    <t>ASV-CM-167</t>
  </si>
  <si>
    <t>ASV-CM-168</t>
  </si>
  <si>
    <t>ASV-CM-169</t>
  </si>
  <si>
    <t>ASV-CM-170</t>
  </si>
  <si>
    <t>ASV-CM-171</t>
  </si>
  <si>
    <t>ASV-CM-172</t>
  </si>
  <si>
    <t>ASV-CM-173</t>
  </si>
  <si>
    <t>ASV-CM-174</t>
  </si>
  <si>
    <t>ASV-CM-175</t>
  </si>
  <si>
    <t>ASV-CM-176</t>
  </si>
  <si>
    <t>ASV-CM-177</t>
  </si>
  <si>
    <t>ASV-CM-178</t>
  </si>
  <si>
    <t>ASV-CM-179</t>
  </si>
  <si>
    <t>ASV-CM-180</t>
  </si>
  <si>
    <t>ASV-CM-181</t>
  </si>
  <si>
    <t>ASV-CM-182</t>
  </si>
  <si>
    <t>ASV-CM-183</t>
  </si>
  <si>
    <t>ASV-CM-184</t>
  </si>
  <si>
    <t>ASV-CM-185</t>
  </si>
  <si>
    <t>ASV-CM-186</t>
  </si>
  <si>
    <t>ASV-CM-187</t>
  </si>
  <si>
    <t>ASV-CM-188</t>
  </si>
  <si>
    <t>ASV-CM-189</t>
  </si>
  <si>
    <t>ASV-CM-190</t>
  </si>
  <si>
    <t>ASV-CM-191</t>
  </si>
  <si>
    <t>ASV-CM-192</t>
  </si>
  <si>
    <t>ASV-CM-193</t>
  </si>
  <si>
    <t>ASV-CM-194</t>
  </si>
  <si>
    <t>ASV-CM-195</t>
  </si>
  <si>
    <t>ASV-CM-196</t>
  </si>
  <si>
    <t>ASV-CM-197</t>
  </si>
  <si>
    <t>ASV-CM-198</t>
  </si>
  <si>
    <t>ASV-CM-199</t>
  </si>
  <si>
    <t>ASV-CM-200</t>
  </si>
  <si>
    <t>ASV-CM-201</t>
  </si>
  <si>
    <t>ASV-CM-202</t>
  </si>
  <si>
    <t>ASV-CM-203</t>
  </si>
  <si>
    <t>ASV-CM-204</t>
  </si>
  <si>
    <t>ASV-CM-205</t>
  </si>
  <si>
    <t>ASV-CM-206</t>
  </si>
  <si>
    <t>ASV-CM-207</t>
  </si>
  <si>
    <t>ASV-CM-208</t>
  </si>
  <si>
    <t>ASV-CM-209</t>
  </si>
  <si>
    <t>ASV-CM-210</t>
  </si>
  <si>
    <t>ASV-CM-211</t>
  </si>
  <si>
    <t>ASV-CM-212</t>
  </si>
  <si>
    <t>ASV-CM-213</t>
  </si>
  <si>
    <t>ASV-CM-214</t>
  </si>
  <si>
    <t>ASV-CM-215</t>
  </si>
  <si>
    <t>ASV-CM-216</t>
  </si>
  <si>
    <t>ASV-CM-217</t>
  </si>
  <si>
    <t>ASV-CM-218</t>
  </si>
  <si>
    <t>ASV-CM-219</t>
  </si>
  <si>
    <t>ASV-CM-220</t>
  </si>
  <si>
    <t>ASV-CM-221</t>
  </si>
  <si>
    <t>ASV-CM-222</t>
  </si>
  <si>
    <t>ASV-CM-223</t>
  </si>
  <si>
    <t>ASV-CM-224</t>
  </si>
  <si>
    <t>ASV-CM-225</t>
  </si>
  <si>
    <t>ASV-CM-226</t>
  </si>
  <si>
    <t>ASV-CM-227</t>
  </si>
  <si>
    <t>ASV-CM-228</t>
  </si>
  <si>
    <t>ASV-CM-229</t>
  </si>
  <si>
    <t>ASV-CM-230</t>
  </si>
  <si>
    <t>ASV-CM-231</t>
  </si>
  <si>
    <t>ASV-CM-232</t>
  </si>
  <si>
    <t>ASV-CM-233</t>
  </si>
  <si>
    <t>ASV-CM-234</t>
  </si>
  <si>
    <t>ASV-CM-235</t>
  </si>
  <si>
    <t>ASV-CM-236</t>
  </si>
  <si>
    <t>ASV-CM-237</t>
  </si>
  <si>
    <t>ASV-CM-238</t>
  </si>
  <si>
    <t>ASV-CM-239</t>
  </si>
  <si>
    <t>ASV-CM-240</t>
  </si>
  <si>
    <t>ASV-CM-241</t>
  </si>
  <si>
    <t>ASV-CM-242</t>
  </si>
  <si>
    <t>ASV-CM-243</t>
  </si>
  <si>
    <t>ASV-CM-244</t>
  </si>
  <si>
    <t>ASV-CM-245</t>
  </si>
  <si>
    <t>ASV-CM-246</t>
  </si>
  <si>
    <t>ASV-CM-247</t>
  </si>
  <si>
    <t>ASV-CM-248</t>
  </si>
  <si>
    <t>ASV-CM-249</t>
  </si>
  <si>
    <t>ASV-CM-250</t>
  </si>
  <si>
    <t>ASV-CM-251</t>
  </si>
  <si>
    <t>ASV-CM-252</t>
  </si>
  <si>
    <t>ASV-CM-253</t>
  </si>
  <si>
    <t>ASV-CM-254</t>
  </si>
  <si>
    <t>ASV-CM-255</t>
  </si>
  <si>
    <t>ASV-CM-256</t>
  </si>
  <si>
    <t>ASV-CM-257</t>
  </si>
  <si>
    <t>ASV-CM-258</t>
  </si>
  <si>
    <t>ASV-CM-259</t>
  </si>
  <si>
    <t>ASV-CM-260</t>
  </si>
  <si>
    <t>ASV-CM-261</t>
  </si>
  <si>
    <t>ASV-CM-262</t>
  </si>
  <si>
    <t>ASV-CM-263</t>
  </si>
  <si>
    <t>ASV-CM-264</t>
  </si>
  <si>
    <t>ASV-CM-265</t>
  </si>
  <si>
    <t>ASV-CM-266</t>
  </si>
  <si>
    <t>ASV-CM-267</t>
  </si>
  <si>
    <t>ASV-CM-268</t>
  </si>
  <si>
    <t>ASV-CM-269</t>
  </si>
  <si>
    <t>ASV-CM-270</t>
  </si>
  <si>
    <t>ASV-CM-271</t>
  </si>
  <si>
    <t>ASV-CM-272</t>
  </si>
  <si>
    <t>ASV-CM-273</t>
  </si>
  <si>
    <t>ASV-CM-274</t>
  </si>
  <si>
    <t>ASV-CM-275</t>
  </si>
  <si>
    <t>ASV-CM-276</t>
  </si>
  <si>
    <t>ASV-CM-277</t>
  </si>
  <si>
    <t>ASV-CM-278</t>
  </si>
  <si>
    <t>ASV-CM-279</t>
  </si>
  <si>
    <t>ASV-CM-280</t>
  </si>
  <si>
    <t>ASV-CM-281</t>
  </si>
  <si>
    <t>ASV-CM-282</t>
  </si>
  <si>
    <t>ASV-CM-283</t>
  </si>
  <si>
    <t>ASV-CM-284</t>
  </si>
  <si>
    <t>ASV-CM-285</t>
  </si>
  <si>
    <t>ASV-CM-286</t>
  </si>
  <si>
    <t>ASV-CM-287</t>
  </si>
  <si>
    <t>ASV-CM-288</t>
  </si>
  <si>
    <t>ASV-CM-289</t>
  </si>
  <si>
    <t>ASV-CM-290</t>
  </si>
  <si>
    <t>ASV-CM-291</t>
  </si>
  <si>
    <t>ASV-CM-292</t>
  </si>
  <si>
    <t>ASV-CM-293</t>
  </si>
  <si>
    <t>ASV-CM-294</t>
  </si>
  <si>
    <t>ASV-CM-295</t>
  </si>
  <si>
    <t>ASV-CM-296</t>
  </si>
  <si>
    <t>ASV-CM-297</t>
  </si>
  <si>
    <t>ASV-CM-298</t>
  </si>
  <si>
    <t>ASV-CM-299</t>
  </si>
  <si>
    <t>ASV-CM-300</t>
  </si>
  <si>
    <t>ASV-CM-301</t>
  </si>
  <si>
    <t>ASV-CM-302</t>
  </si>
  <si>
    <t>ASV-CM-303</t>
  </si>
  <si>
    <t>ASV-CM-304</t>
  </si>
  <si>
    <t>ASV-CM-305</t>
  </si>
  <si>
    <t>ASV-CM-306</t>
  </si>
  <si>
    <t>ASV-CM-307</t>
  </si>
  <si>
    <t>ASV-CM-308</t>
  </si>
  <si>
    <t>ASV-CM-309</t>
  </si>
  <si>
    <t>ASV-CM-310</t>
  </si>
  <si>
    <t>ASV-CM-311</t>
  </si>
  <si>
    <t>ASV-CM-312</t>
  </si>
  <si>
    <t>ASV-CM-313</t>
  </si>
  <si>
    <t>ASV-CM-314</t>
  </si>
  <si>
    <t>ASV-CM-315</t>
  </si>
  <si>
    <t>ASV-CM-316</t>
  </si>
  <si>
    <t>ASV-CM-317</t>
  </si>
  <si>
    <t>ASV-CM-318</t>
  </si>
  <si>
    <t>ASV-CM-319</t>
  </si>
  <si>
    <t>ASV-CM-320</t>
  </si>
  <si>
    <t>ASV-CM-321</t>
  </si>
  <si>
    <t>ASV-CM-322</t>
  </si>
  <si>
    <t>ASV-CM-323</t>
  </si>
  <si>
    <t>ASV-CM-324</t>
  </si>
  <si>
    <t>ASV-CM-325</t>
  </si>
  <si>
    <t>ASV-CM-326</t>
  </si>
  <si>
    <t>ASV-CM-327</t>
  </si>
  <si>
    <t>ASV-CM-328</t>
  </si>
  <si>
    <t>ASV-CM-329</t>
  </si>
  <si>
    <t>ASV-CM-330</t>
  </si>
  <si>
    <t>ASV-CM-331</t>
  </si>
  <si>
    <t>ASV-CM-332</t>
  </si>
  <si>
    <t>ASV-CM-333</t>
  </si>
  <si>
    <t>ASV-CM-334</t>
  </si>
  <si>
    <t>ASV-CM-335</t>
  </si>
  <si>
    <t>ASV-CM-336</t>
  </si>
  <si>
    <t>ASV-CM-337</t>
  </si>
  <si>
    <t>ASV-CM-338</t>
  </si>
  <si>
    <t>ASV-CM-339</t>
  </si>
  <si>
    <t>ASV-CM-340</t>
  </si>
  <si>
    <t>ASV-CM-341</t>
  </si>
  <si>
    <t>ASV-CM-342</t>
  </si>
  <si>
    <t>ASV-CM-343</t>
  </si>
  <si>
    <t>ASV-CM-344</t>
  </si>
  <si>
    <t>ASV-CM-345</t>
  </si>
  <si>
    <t>ASV-CM-346</t>
  </si>
  <si>
    <t>ASV-CM-347</t>
  </si>
  <si>
    <t>ASV-CM-348</t>
  </si>
  <si>
    <t>ASV-CM-349</t>
  </si>
  <si>
    <t>ASV-CM-350</t>
  </si>
  <si>
    <t>ASV-CM-351</t>
  </si>
  <si>
    <t>ASV-CM-352</t>
  </si>
  <si>
    <t>ASV-CM-353</t>
  </si>
  <si>
    <t>ASV-CM-354</t>
  </si>
  <si>
    <t>ASV-CM-355</t>
  </si>
  <si>
    <t>ASV-CM-356</t>
  </si>
  <si>
    <t>ASV-CM-357</t>
  </si>
  <si>
    <t>ASV-CM-358</t>
  </si>
  <si>
    <t>ASV-CM-359</t>
  </si>
  <si>
    <t>ASV-CM-360</t>
  </si>
  <si>
    <t>ASV-CM-361</t>
  </si>
  <si>
    <t>ASV-CM-362</t>
  </si>
  <si>
    <t>ASV-CM-363</t>
  </si>
  <si>
    <t>ASV-CM-364</t>
  </si>
  <si>
    <t>ASV-CM-365</t>
  </si>
  <si>
    <t>ASV-CM-366</t>
  </si>
  <si>
    <t>ASV-CM-367</t>
  </si>
  <si>
    <t>ASV-CM-368</t>
  </si>
  <si>
    <t>ASV-CM-369</t>
  </si>
  <si>
    <t>ASV-CM-370</t>
  </si>
  <si>
    <t>ASV-CM-371</t>
  </si>
  <si>
    <t>ASV-CM-372</t>
  </si>
  <si>
    <t>ASV-CM-373</t>
  </si>
  <si>
    <t>ASV-CM-374</t>
  </si>
  <si>
    <t>ASV-CM-375</t>
  </si>
  <si>
    <t>ASV-CM-376</t>
  </si>
  <si>
    <t>ASV-CM-377</t>
  </si>
  <si>
    <t>ASV-CM-378</t>
  </si>
  <si>
    <t>ASV-CM-379</t>
  </si>
  <si>
    <t>ASV-CM-380</t>
  </si>
  <si>
    <t>ASV-CM-381</t>
  </si>
  <si>
    <t>ASV-CM-382</t>
  </si>
  <si>
    <t>ASV-CM-383</t>
  </si>
  <si>
    <t>ASV-CM-384</t>
  </si>
  <si>
    <t>ASV-CM-385</t>
  </si>
  <si>
    <t>ASV-CM-386</t>
  </si>
  <si>
    <t>ASV-CM-387</t>
  </si>
  <si>
    <t>ASV-CM-388</t>
  </si>
  <si>
    <t>ASV-CM-389</t>
  </si>
  <si>
    <t>ASV-CM-390</t>
  </si>
  <si>
    <t>ASV-CM-391</t>
  </si>
  <si>
    <t>ASV-CM-392</t>
  </si>
  <si>
    <t>ASV-CM-393</t>
  </si>
  <si>
    <t>ASV-CM-394</t>
  </si>
  <si>
    <t>ASV-CM-395</t>
  </si>
  <si>
    <t>ASV-CM-396</t>
  </si>
  <si>
    <t>ASV-CM-397</t>
  </si>
  <si>
    <t>ASV-CM-398</t>
  </si>
  <si>
    <t>ASV-CM-399</t>
  </si>
  <si>
    <t>ASV-CM-400</t>
  </si>
  <si>
    <t>ASV-CM-401</t>
  </si>
  <si>
    <t>ASV-CM-402</t>
  </si>
  <si>
    <t>ASV-CM-403</t>
  </si>
  <si>
    <t>ASV-CM-404</t>
  </si>
  <si>
    <t>ASV-CM-405</t>
  </si>
  <si>
    <t>ASV-CM-406</t>
  </si>
  <si>
    <t>ASV-CM-407</t>
  </si>
  <si>
    <t>ASV-CM-408</t>
  </si>
  <si>
    <t>ASV-CM-409</t>
  </si>
  <si>
    <t>ASV-CM-410</t>
  </si>
  <si>
    <t>ASV-CM-411</t>
  </si>
  <si>
    <t>ASV-CM-412</t>
  </si>
  <si>
    <t>ASV-CM-413</t>
  </si>
  <si>
    <t>ASV-CM-414</t>
  </si>
  <si>
    <t>ASV-CM-415</t>
  </si>
  <si>
    <t>ASV-CM-416</t>
  </si>
  <si>
    <t>ASV-CM-417</t>
  </si>
  <si>
    <t>ASV-CM-418</t>
  </si>
  <si>
    <t>ASV-CM-419</t>
  </si>
  <si>
    <t>ASV-CM-420</t>
  </si>
  <si>
    <t>ASV-CM-421</t>
  </si>
  <si>
    <t>ASV-CM-422</t>
  </si>
  <si>
    <t>ASV-CM-423</t>
  </si>
  <si>
    <t>ASV-CM-424</t>
  </si>
  <si>
    <t>ASV-CM-425</t>
  </si>
  <si>
    <t>ASV-CM-426</t>
  </si>
  <si>
    <t>ASV-CM-427</t>
  </si>
  <si>
    <t>ASV-CM-428</t>
  </si>
  <si>
    <t>ASV-CM-429</t>
  </si>
  <si>
    <t>ASV-CM-430</t>
  </si>
  <si>
    <t>ASV-CM-431</t>
  </si>
  <si>
    <t>ASV-CM-432</t>
  </si>
  <si>
    <t>ASV-CM-433</t>
  </si>
  <si>
    <t>ASV-CM-434</t>
  </si>
  <si>
    <t>ASV-CM-435</t>
  </si>
  <si>
    <t>ASV-CM-436</t>
  </si>
  <si>
    <t>ASV-CM-437</t>
  </si>
  <si>
    <t>ASV-CM-438</t>
  </si>
  <si>
    <t>ASV-CM-439</t>
  </si>
  <si>
    <t>ASV-CM-440</t>
  </si>
  <si>
    <t>ASV-CM-441</t>
  </si>
  <si>
    <t>ASV-CM-442</t>
  </si>
  <si>
    <t>ASV-CM-443</t>
  </si>
  <si>
    <t>ASV-CM-444</t>
  </si>
  <si>
    <t>ASV-CM-445</t>
  </si>
  <si>
    <t>ASV-CM-446</t>
  </si>
  <si>
    <t>ASV-CM-447</t>
  </si>
  <si>
    <t>ASV-CM-448</t>
  </si>
  <si>
    <t>ASV-CM-449</t>
  </si>
  <si>
    <t>ASV-CM-450</t>
  </si>
  <si>
    <t>ASV-CM-451</t>
  </si>
  <si>
    <t>ASV-CM-452</t>
  </si>
  <si>
    <t>ASV-CM-453</t>
  </si>
  <si>
    <t>ASV-CM-454</t>
  </si>
  <si>
    <t>ASV-CM-455</t>
  </si>
  <si>
    <t>ASV-CM-456</t>
  </si>
  <si>
    <t>ASV-CM-457</t>
  </si>
  <si>
    <t>ASV-CM-458</t>
  </si>
  <si>
    <t>ASV-CM-459</t>
  </si>
  <si>
    <t>ASV-CM-460</t>
  </si>
  <si>
    <t>ASV-CM-461</t>
  </si>
  <si>
    <t>ASV-CM-462</t>
  </si>
  <si>
    <t>ASV-CM-463</t>
  </si>
  <si>
    <t>ASV-CM-464</t>
  </si>
  <si>
    <t>ASV-CM-465</t>
  </si>
  <si>
    <t>ASV-CM-466</t>
  </si>
  <si>
    <t>ASV-CM-467</t>
  </si>
  <si>
    <t>ASV-CM-468</t>
  </si>
  <si>
    <t>ASV-CM-469</t>
  </si>
  <si>
    <t>ASV-CM-470</t>
  </si>
  <si>
    <t>ASV-CM-471</t>
  </si>
  <si>
    <t>ASV-CM-472</t>
  </si>
  <si>
    <t>ASV-CM-473</t>
  </si>
  <si>
    <t>ASV-CM-474</t>
  </si>
  <si>
    <t>ASV-CM-475</t>
  </si>
  <si>
    <t>ASV-CM-476</t>
  </si>
  <si>
    <t>ASV-CM-477</t>
  </si>
  <si>
    <t>ASV-CM-478</t>
  </si>
  <si>
    <t>ASV-CM-479</t>
  </si>
  <si>
    <t>ASV-CM-480</t>
  </si>
  <si>
    <t>ASV-CM-481</t>
  </si>
  <si>
    <t>ASV-CM-482</t>
  </si>
  <si>
    <t>ASV-CM-483</t>
  </si>
  <si>
    <t>ASV-CM-484</t>
  </si>
  <si>
    <t>ASV-CM-485</t>
  </si>
  <si>
    <t>ASV-CM-486</t>
  </si>
  <si>
    <t>ASV-CM-487</t>
  </si>
  <si>
    <t>ASV-CM-488</t>
  </si>
  <si>
    <t>ASV-CM-489</t>
  </si>
  <si>
    <t>ASV-CM-490</t>
  </si>
  <si>
    <t>ASV-CM-491</t>
  </si>
  <si>
    <t>ASV-CM-492</t>
  </si>
  <si>
    <t>ASV-CM-493</t>
  </si>
  <si>
    <t>ASV-CM-494</t>
  </si>
  <si>
    <t>ASV-CM-495</t>
  </si>
  <si>
    <t>ASV-CM-496</t>
  </si>
  <si>
    <t>ASV-CM-497</t>
  </si>
  <si>
    <t>ASV-CM-498</t>
  </si>
  <si>
    <t>ASV-CM-499</t>
  </si>
  <si>
    <t>ASV-CM-500</t>
  </si>
  <si>
    <t>ASV-CM-501</t>
  </si>
  <si>
    <t>ASV-CM-502</t>
  </si>
  <si>
    <t>ASV-CM-503</t>
  </si>
  <si>
    <t>ASV-CM-504</t>
  </si>
  <si>
    <t>ASV-CM-505</t>
  </si>
  <si>
    <t>ASV-CM-506</t>
  </si>
  <si>
    <t>ASV-CM-507</t>
  </si>
  <si>
    <t>ASV-CM-508</t>
  </si>
  <si>
    <t>ASV-CM-509</t>
  </si>
  <si>
    <t>ASV-CM-510</t>
  </si>
  <si>
    <t>ASV-CM-511</t>
  </si>
  <si>
    <t>ASV-CM-512</t>
  </si>
  <si>
    <t>ASV-CM-513</t>
  </si>
  <si>
    <t>ASV-CM-514</t>
  </si>
  <si>
    <t>ASV-CM-515</t>
  </si>
  <si>
    <t>ASV-CM-516</t>
  </si>
  <si>
    <t>ASV-CM-517</t>
  </si>
  <si>
    <t>ASV-CM-518</t>
  </si>
  <si>
    <t>ASV-CM-519</t>
  </si>
  <si>
    <t>ASV-CM-520</t>
  </si>
  <si>
    <t>ASV-CM-521</t>
  </si>
  <si>
    <t>ASV-CM-522</t>
  </si>
  <si>
    <t>ASV-CM-523</t>
  </si>
  <si>
    <t>ASV-CM-524</t>
  </si>
  <si>
    <t>ASV-CM-525</t>
  </si>
  <si>
    <t>ASV-CM-526</t>
  </si>
  <si>
    <t>ASV-CM-527</t>
  </si>
  <si>
    <t>ASV-CM-528</t>
  </si>
  <si>
    <t>ASV-CM-529</t>
  </si>
  <si>
    <t>ASV-CM-530</t>
  </si>
  <si>
    <t>ASV-CM-531</t>
  </si>
  <si>
    <t>ASV-CM-532</t>
  </si>
  <si>
    <t>ASV-CM-533</t>
  </si>
  <si>
    <t>ASV-CM-534</t>
  </si>
  <si>
    <t>ASV-CM-535</t>
  </si>
  <si>
    <t>ASV-CM-536</t>
  </si>
  <si>
    <t>ASV-CM-537</t>
  </si>
  <si>
    <t>ASV-CM-538</t>
  </si>
  <si>
    <t>ASV-CM-539</t>
  </si>
  <si>
    <t>ASV-CM-540</t>
  </si>
  <si>
    <t>ASV-CM-541</t>
  </si>
  <si>
    <t>ASV-CM-542</t>
  </si>
  <si>
    <t>ASV-CM-543</t>
  </si>
  <si>
    <t>ASV-CM-544</t>
  </si>
  <si>
    <t>ASV-CM-545</t>
  </si>
  <si>
    <t>ASV-CM-546</t>
  </si>
  <si>
    <t>ASV-CM-547</t>
  </si>
  <si>
    <t>ASV-CM-548</t>
  </si>
  <si>
    <t>ASV-CM-549</t>
  </si>
  <si>
    <t>ASV-CM-550</t>
  </si>
  <si>
    <t>ASV-CM-551</t>
  </si>
  <si>
    <t>ASV-CM-552</t>
  </si>
  <si>
    <t>ASV-CM-553</t>
  </si>
  <si>
    <t>ASV-CM-554</t>
  </si>
  <si>
    <t>ASV-CM-555</t>
  </si>
  <si>
    <t>ASV-CM-556</t>
  </si>
  <si>
    <t>ASV-CM-557</t>
  </si>
  <si>
    <t>ASV-CM-558</t>
  </si>
  <si>
    <t>ASV-CM-559</t>
  </si>
  <si>
    <t>ASV-CM-560</t>
  </si>
  <si>
    <t>ASV-CM-561</t>
  </si>
  <si>
    <t>ASV-CM-562</t>
  </si>
  <si>
    <t>ASV-CM-563</t>
  </si>
  <si>
    <t>ASV-CM-564</t>
  </si>
  <si>
    <t>ASV-CM-565</t>
  </si>
  <si>
    <t>ASV-CM-566</t>
  </si>
  <si>
    <t>ASV-CM-567</t>
  </si>
  <si>
    <t>ASV-CM-568</t>
  </si>
  <si>
    <t>ASV-CM-569</t>
  </si>
  <si>
    <t>ASV-CM-570</t>
  </si>
  <si>
    <t>ASV-CM-571</t>
  </si>
  <si>
    <t>ASV-CM-572</t>
  </si>
  <si>
    <t>ASV-CM-573</t>
  </si>
  <si>
    <t>ASV-CM-574</t>
  </si>
  <si>
    <t>ASV-CM-575</t>
  </si>
  <si>
    <t>ASV-CM-576</t>
  </si>
  <si>
    <t>ASV-CM-577</t>
  </si>
  <si>
    <t>ASV-CM-578</t>
  </si>
  <si>
    <t>ASV-CM-579</t>
  </si>
  <si>
    <t>ASV-CM-580</t>
  </si>
  <si>
    <t>ASV-CM-581</t>
  </si>
  <si>
    <t>ASV-CM-582</t>
  </si>
  <si>
    <t>ASV-CM-583</t>
  </si>
  <si>
    <t>ASV-CM-584</t>
  </si>
  <si>
    <t>ASV-CM-585</t>
  </si>
  <si>
    <t>ASV-CM-586</t>
  </si>
  <si>
    <t>ASV-CM-587</t>
  </si>
  <si>
    <t>ASV-CM-588</t>
  </si>
  <si>
    <t>ASV-CM-589</t>
  </si>
  <si>
    <t>ASV-CM-590</t>
  </si>
  <si>
    <t>ASV-CM-591</t>
  </si>
  <si>
    <t>ASV-CM-592</t>
  </si>
  <si>
    <t>ASV-CM-593</t>
  </si>
  <si>
    <t>ASV-CM-594</t>
  </si>
  <si>
    <t>ASV-CM-595</t>
  </si>
  <si>
    <t>ASV-CM-596</t>
  </si>
  <si>
    <t>Title for Sheets</t>
    <phoneticPr fontId="0"/>
  </si>
  <si>
    <t>Mock community:</t>
  </si>
  <si>
    <t>VA group:</t>
  </si>
  <si>
    <t>Mean</t>
  </si>
  <si>
    <t>Standard deviation</t>
  </si>
  <si>
    <t>Standard deviation for proportional</t>
  </si>
  <si>
    <t>The sequencing-determined abundances of ASVs for the mock community.</t>
    <phoneticPr fontId="1"/>
  </si>
  <si>
    <t>The sequencing-determined abundances of ASVs for the cell samples in the VA group.</t>
    <phoneticPr fontId="1"/>
  </si>
  <si>
    <t>Legend</t>
    <phoneticPr fontId="1"/>
  </si>
  <si>
    <t>Title: The sequencing-determined abundances of ASVs for the cell samples in the VA group.</t>
    <phoneticPr fontId="1"/>
  </si>
  <si>
    <t>The name of the cell samples in the VA group.</t>
    <phoneticPr fontId="1"/>
  </si>
  <si>
    <t>ID of each ASV.</t>
    <phoneticPr fontId="1"/>
  </si>
  <si>
    <t>Supplementary Data 5: Sequencing-determined abundances of amplicon sequence variants (ASVs).</t>
  </si>
  <si>
    <r>
      <t>Proportional [C]</t>
    </r>
    <r>
      <rPr>
        <vertAlign val="subscript"/>
        <sz val="12"/>
        <color theme="1"/>
        <rFont val="Arial"/>
        <family val="2"/>
      </rPr>
      <t>ASV</t>
    </r>
  </si>
  <si>
    <r>
      <t>VDa</t>
    </r>
    <r>
      <rPr>
        <vertAlign val="superscript"/>
        <sz val="12"/>
        <color theme="1"/>
        <rFont val="Arial"/>
        <family val="2"/>
      </rPr>
      <t>prox</t>
    </r>
    <r>
      <rPr>
        <sz val="12"/>
        <color theme="1"/>
        <rFont val="Arial"/>
        <family val="2"/>
      </rPr>
      <t>-VSd</t>
    </r>
    <r>
      <rPr>
        <vertAlign val="superscript"/>
        <sz val="12"/>
        <color theme="1"/>
        <rFont val="Arial"/>
        <family val="2"/>
      </rPr>
      <t>dist</t>
    </r>
  </si>
  <si>
    <r>
      <t>Title: Sequencing-determined abundances of ASVs for the mock community</t>
    </r>
    <r>
      <rPr>
        <sz val="12"/>
        <color rgb="FFFF0000"/>
        <rFont val="Arial"/>
        <family val="2"/>
      </rPr>
      <t>.</t>
    </r>
  </si>
  <si>
    <r>
      <t>VDa</t>
    </r>
    <r>
      <rPr>
        <vertAlign val="superscript"/>
        <sz val="12"/>
        <rFont val="Arial"/>
        <family val="2"/>
      </rPr>
      <t>prox</t>
    </r>
  </si>
  <si>
    <r>
      <t>VDa</t>
    </r>
    <r>
      <rPr>
        <vertAlign val="superscript"/>
        <sz val="12"/>
        <rFont val="Arial"/>
        <family val="2"/>
      </rPr>
      <t>dist</t>
    </r>
  </si>
  <si>
    <r>
      <t>VDb</t>
    </r>
    <r>
      <rPr>
        <vertAlign val="superscript"/>
        <sz val="12"/>
        <rFont val="Arial"/>
        <family val="2"/>
      </rPr>
      <t>prox</t>
    </r>
  </si>
  <si>
    <r>
      <t>VDb</t>
    </r>
    <r>
      <rPr>
        <vertAlign val="superscript"/>
        <sz val="12"/>
        <rFont val="Arial"/>
        <family val="2"/>
      </rPr>
      <t>dist</t>
    </r>
  </si>
  <si>
    <r>
      <t>VDc</t>
    </r>
    <r>
      <rPr>
        <vertAlign val="superscript"/>
        <sz val="12"/>
        <rFont val="Arial"/>
        <family val="2"/>
      </rPr>
      <t>prox</t>
    </r>
  </si>
  <si>
    <r>
      <t>VDc</t>
    </r>
    <r>
      <rPr>
        <vertAlign val="superscript"/>
        <sz val="12"/>
        <rFont val="Arial"/>
        <family val="2"/>
      </rPr>
      <t>dist</t>
    </r>
  </si>
  <si>
    <r>
      <t>VDd</t>
    </r>
    <r>
      <rPr>
        <vertAlign val="superscript"/>
        <sz val="12"/>
        <rFont val="Arial"/>
        <family val="2"/>
      </rPr>
      <t>prox</t>
    </r>
  </si>
  <si>
    <r>
      <t>VDd</t>
    </r>
    <r>
      <rPr>
        <vertAlign val="superscript"/>
        <sz val="12"/>
        <rFont val="Arial"/>
        <family val="2"/>
      </rPr>
      <t>dist</t>
    </r>
  </si>
  <si>
    <r>
      <t>VSa</t>
    </r>
    <r>
      <rPr>
        <vertAlign val="superscript"/>
        <sz val="12"/>
        <rFont val="Arial"/>
        <family val="2"/>
      </rPr>
      <t>prox</t>
    </r>
  </si>
  <si>
    <r>
      <t>VSa</t>
    </r>
    <r>
      <rPr>
        <vertAlign val="superscript"/>
        <sz val="12"/>
        <rFont val="Arial"/>
        <family val="2"/>
      </rPr>
      <t>dist</t>
    </r>
  </si>
  <si>
    <r>
      <t>VSb</t>
    </r>
    <r>
      <rPr>
        <vertAlign val="superscript"/>
        <sz val="12"/>
        <rFont val="Arial"/>
        <family val="2"/>
      </rPr>
      <t>prox</t>
    </r>
  </si>
  <si>
    <r>
      <t>VSb</t>
    </r>
    <r>
      <rPr>
        <vertAlign val="superscript"/>
        <sz val="12"/>
        <rFont val="Arial"/>
        <family val="2"/>
      </rPr>
      <t>dist</t>
    </r>
  </si>
  <si>
    <r>
      <t>VSc</t>
    </r>
    <r>
      <rPr>
        <vertAlign val="superscript"/>
        <sz val="12"/>
        <rFont val="Arial"/>
        <family val="2"/>
      </rPr>
      <t>prox</t>
    </r>
  </si>
  <si>
    <r>
      <t>VSc</t>
    </r>
    <r>
      <rPr>
        <vertAlign val="superscript"/>
        <sz val="12"/>
        <rFont val="Arial"/>
        <family val="2"/>
      </rPr>
      <t>dist</t>
    </r>
  </si>
  <si>
    <r>
      <t>VSd</t>
    </r>
    <r>
      <rPr>
        <vertAlign val="superscript"/>
        <sz val="12"/>
        <rFont val="Arial"/>
        <family val="2"/>
      </rPr>
      <t>prox</t>
    </r>
  </si>
  <si>
    <r>
      <t>VSd</t>
    </r>
    <r>
      <rPr>
        <vertAlign val="superscript"/>
        <sz val="12"/>
        <rFont val="Arial"/>
        <family val="2"/>
      </rPr>
      <t>dist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</si>
</sst>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2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2"/>
      <color rgb="FFFF0000"/>
      <name val="游ゴシック (本文)"/>
      <family val="3"/>
      <charset val="128"/>
    </font>
    <font>
      <sz val="12"/>
      <color theme="1"/>
      <name val="Arial"/>
      <family val="2"/>
    </font>
    <font>
      <vertAlign val="sub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6_data_for_ASV_abundance_Mock_sheet" connectionId="1" xr16:uid="{7A50FF1E-EBC5-2445-9F30-B0FC22D004D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6_data_for_ASV_abundance_VA_group_sheet" connectionId="2" xr16:uid="{F2BCB512-4EB4-E341-BB30-E5B1FB260B0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E9C3-ECB9-BE42-8044-1DAD3DF98A89}">
  <dimension ref="A1:C9"/>
  <sheetViews>
    <sheetView tabSelected="1" workbookViewId="0">
      <selection activeCell="D18" sqref="D18"/>
    </sheetView>
  </sheetViews>
  <sheetFormatPr baseColWidth="10" defaultRowHeight="16"/>
  <cols>
    <col min="1" max="1" width="20" customWidth="1"/>
  </cols>
  <sheetData>
    <row r="1" spans="1:3">
      <c r="A1" s="3" t="s">
        <v>639</v>
      </c>
      <c r="B1" s="3"/>
      <c r="C1" s="3"/>
    </row>
    <row r="2" spans="1:3">
      <c r="A2" s="3"/>
      <c r="B2" s="3"/>
      <c r="C2" s="3"/>
    </row>
    <row r="3" spans="1:3">
      <c r="A3" s="3" t="s">
        <v>627</v>
      </c>
      <c r="B3" s="3"/>
      <c r="C3" s="3"/>
    </row>
    <row r="4" spans="1:3">
      <c r="A4" s="3" t="s">
        <v>628</v>
      </c>
      <c r="B4" s="3" t="s">
        <v>633</v>
      </c>
      <c r="C4" s="3"/>
    </row>
    <row r="5" spans="1:3">
      <c r="A5" s="3" t="s">
        <v>629</v>
      </c>
      <c r="B5" s="3" t="s">
        <v>634</v>
      </c>
      <c r="C5" s="3"/>
    </row>
    <row r="6" spans="1:3">
      <c r="A6" s="3"/>
      <c r="B6" s="3"/>
      <c r="C6" s="3"/>
    </row>
    <row r="7" spans="1:3" s="2" customFormat="1">
      <c r="A7" s="3" t="s">
        <v>635</v>
      </c>
      <c r="B7" s="3"/>
      <c r="C7" s="3"/>
    </row>
    <row r="8" spans="1:3" s="2" customFormat="1">
      <c r="A8" s="3" t="s">
        <v>0</v>
      </c>
      <c r="B8" s="3" t="s">
        <v>638</v>
      </c>
      <c r="C8" s="3"/>
    </row>
    <row r="9" spans="1:3" s="2" customFormat="1" ht="18">
      <c r="A9" s="3" t="s">
        <v>641</v>
      </c>
      <c r="B9" s="3" t="s">
        <v>637</v>
      </c>
      <c r="C9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5AD7-7F21-1245-9507-C3F4716A26F7}">
  <dimension ref="A1:G32"/>
  <sheetViews>
    <sheetView workbookViewId="0">
      <selection sqref="A1:G30"/>
    </sheetView>
  </sheetViews>
  <sheetFormatPr baseColWidth="10" defaultRowHeight="16"/>
  <cols>
    <col min="1" max="1" width="10.5" bestFit="1" customWidth="1"/>
    <col min="2" max="3" width="18.5" bestFit="1" customWidth="1"/>
    <col min="4" max="4" width="12.5" customWidth="1"/>
    <col min="5" max="5" width="16.5" customWidth="1"/>
    <col min="6" max="6" width="23" customWidth="1"/>
    <col min="7" max="7" width="30.83203125" customWidth="1"/>
  </cols>
  <sheetData>
    <row r="1" spans="1:7">
      <c r="A1" s="3" t="s">
        <v>642</v>
      </c>
      <c r="B1" s="3"/>
      <c r="C1" s="3"/>
      <c r="D1" s="3"/>
      <c r="E1" s="3"/>
      <c r="F1" s="3"/>
      <c r="G1" s="3"/>
    </row>
    <row r="2" spans="1:7" ht="18">
      <c r="A2" s="3" t="s">
        <v>0</v>
      </c>
      <c r="B2" s="3" t="s">
        <v>1</v>
      </c>
      <c r="C2" s="3" t="s">
        <v>2</v>
      </c>
      <c r="D2" s="3" t="s">
        <v>630</v>
      </c>
      <c r="E2" s="3" t="s">
        <v>631</v>
      </c>
      <c r="F2" s="3" t="s">
        <v>640</v>
      </c>
      <c r="G2" s="3" t="s">
        <v>632</v>
      </c>
    </row>
    <row r="3" spans="1:7">
      <c r="A3" s="3" t="s">
        <v>3</v>
      </c>
      <c r="B3" s="3">
        <v>41626</v>
      </c>
      <c r="C3" s="3">
        <v>38895</v>
      </c>
      <c r="D3" s="4">
        <f>AVERAGE(B3:C3)</f>
        <v>40260.5</v>
      </c>
      <c r="E3" s="4">
        <f>STDEV(B3:C3)</f>
        <v>1931.1086194204613</v>
      </c>
      <c r="F3" s="5">
        <f>D3/117682</f>
        <v>0.3421126425451641</v>
      </c>
      <c r="G3" s="5">
        <f>E3/117682</f>
        <v>1.6409549628834157E-2</v>
      </c>
    </row>
    <row r="4" spans="1:7">
      <c r="A4" s="3" t="s">
        <v>4</v>
      </c>
      <c r="B4" s="3">
        <v>30034</v>
      </c>
      <c r="C4" s="3">
        <v>26746</v>
      </c>
      <c r="D4" s="4">
        <f t="shared" ref="D4:D30" si="0">AVERAGE(B4:C4)</f>
        <v>28390</v>
      </c>
      <c r="E4" s="4">
        <f t="shared" ref="E4:E29" si="1">STDEV(B4:C4)</f>
        <v>2324.9670965413684</v>
      </c>
      <c r="F4" s="5">
        <f t="shared" ref="F4:F30" si="2">D4/117682</f>
        <v>0.24124335072483472</v>
      </c>
      <c r="G4" s="5">
        <f t="shared" ref="G4:G30" si="3">E4/117682</f>
        <v>1.9756352683854526E-2</v>
      </c>
    </row>
    <row r="5" spans="1:7">
      <c r="A5" s="3" t="s">
        <v>5</v>
      </c>
      <c r="B5" s="3">
        <v>26024</v>
      </c>
      <c r="C5" s="3">
        <v>22348</v>
      </c>
      <c r="D5" s="4">
        <f t="shared" si="0"/>
        <v>24186</v>
      </c>
      <c r="E5" s="4">
        <f t="shared" si="1"/>
        <v>2599.3245276417488</v>
      </c>
      <c r="F5" s="5">
        <f t="shared" si="2"/>
        <v>0.20551996057171021</v>
      </c>
      <c r="G5" s="5">
        <f t="shared" si="3"/>
        <v>2.2087698438518624E-2</v>
      </c>
    </row>
    <row r="6" spans="1:7">
      <c r="A6" s="3" t="s">
        <v>6</v>
      </c>
      <c r="B6" s="3">
        <v>15428</v>
      </c>
      <c r="C6" s="3">
        <v>14376</v>
      </c>
      <c r="D6" s="4">
        <f t="shared" si="0"/>
        <v>14902</v>
      </c>
      <c r="E6" s="4">
        <f t="shared" si="1"/>
        <v>743.87633380824798</v>
      </c>
      <c r="F6" s="5">
        <f t="shared" si="2"/>
        <v>0.12662939107085194</v>
      </c>
      <c r="G6" s="5">
        <f t="shared" si="3"/>
        <v>6.3210714791408027E-3</v>
      </c>
    </row>
    <row r="7" spans="1:7">
      <c r="A7" s="3" t="s">
        <v>7</v>
      </c>
      <c r="B7" s="3">
        <v>5652</v>
      </c>
      <c r="C7" s="3">
        <v>5246</v>
      </c>
      <c r="D7" s="4">
        <f t="shared" si="0"/>
        <v>5449</v>
      </c>
      <c r="E7" s="4">
        <f t="shared" si="1"/>
        <v>287.08535316173828</v>
      </c>
      <c r="F7" s="5">
        <f t="shared" si="2"/>
        <v>4.6302748083819109E-2</v>
      </c>
      <c r="G7" s="5">
        <f t="shared" si="3"/>
        <v>2.4395009700866597E-3</v>
      </c>
    </row>
    <row r="8" spans="1:7">
      <c r="A8" s="3" t="s">
        <v>8</v>
      </c>
      <c r="B8" s="3">
        <v>1383</v>
      </c>
      <c r="C8" s="3">
        <v>1151</v>
      </c>
      <c r="D8" s="4">
        <f t="shared" si="0"/>
        <v>1267</v>
      </c>
      <c r="E8" s="4">
        <f t="shared" si="1"/>
        <v>164.04877323527901</v>
      </c>
      <c r="F8" s="5">
        <f t="shared" si="2"/>
        <v>1.0766302408184769E-2</v>
      </c>
      <c r="G8" s="5">
        <f t="shared" si="3"/>
        <v>1.394000554335234E-3</v>
      </c>
    </row>
    <row r="9" spans="1:7">
      <c r="A9" s="3" t="s">
        <v>9</v>
      </c>
      <c r="B9" s="3">
        <v>964</v>
      </c>
      <c r="C9" s="3">
        <v>856</v>
      </c>
      <c r="D9" s="4">
        <f t="shared" si="0"/>
        <v>910</v>
      </c>
      <c r="E9" s="4">
        <f t="shared" si="1"/>
        <v>76.367532368147138</v>
      </c>
      <c r="F9" s="5">
        <f t="shared" si="2"/>
        <v>7.7327033870940327E-3</v>
      </c>
      <c r="G9" s="5">
        <f t="shared" si="3"/>
        <v>6.4893129253536762E-4</v>
      </c>
    </row>
    <row r="10" spans="1:7">
      <c r="A10" s="3" t="s">
        <v>10</v>
      </c>
      <c r="B10" s="3">
        <v>887</v>
      </c>
      <c r="C10" s="3">
        <v>675</v>
      </c>
      <c r="D10" s="4">
        <f t="shared" si="0"/>
        <v>781</v>
      </c>
      <c r="E10" s="4">
        <f t="shared" si="1"/>
        <v>149.90663761154806</v>
      </c>
      <c r="F10" s="5">
        <f t="shared" si="2"/>
        <v>6.6365289509015823E-3</v>
      </c>
      <c r="G10" s="5">
        <f t="shared" si="3"/>
        <v>1.2738280927546105E-3</v>
      </c>
    </row>
    <row r="11" spans="1:7">
      <c r="A11" s="3" t="s">
        <v>11</v>
      </c>
      <c r="B11" s="3">
        <v>544</v>
      </c>
      <c r="C11" s="3">
        <v>482</v>
      </c>
      <c r="D11" s="4">
        <f t="shared" si="0"/>
        <v>513</v>
      </c>
      <c r="E11" s="4">
        <f t="shared" si="1"/>
        <v>43.840620433565945</v>
      </c>
      <c r="F11" s="5">
        <f t="shared" si="2"/>
        <v>4.3592053160211421E-3</v>
      </c>
      <c r="G11" s="5">
        <f t="shared" si="3"/>
        <v>3.7253463089993326E-4</v>
      </c>
    </row>
    <row r="12" spans="1:7">
      <c r="A12" s="3" t="s">
        <v>12</v>
      </c>
      <c r="B12" s="3">
        <v>295</v>
      </c>
      <c r="C12" s="3">
        <v>404</v>
      </c>
      <c r="D12" s="4">
        <f t="shared" si="0"/>
        <v>349.5</v>
      </c>
      <c r="E12" s="4">
        <f t="shared" si="1"/>
        <v>77.074639149333677</v>
      </c>
      <c r="F12" s="5">
        <f t="shared" si="2"/>
        <v>2.969867949219082E-3</v>
      </c>
      <c r="G12" s="5">
        <f t="shared" si="3"/>
        <v>6.5493991561439875E-4</v>
      </c>
    </row>
    <row r="13" spans="1:7">
      <c r="A13" s="3" t="s">
        <v>13</v>
      </c>
      <c r="B13" s="3">
        <v>236</v>
      </c>
      <c r="C13" s="3">
        <v>205</v>
      </c>
      <c r="D13" s="4">
        <f t="shared" si="0"/>
        <v>220.5</v>
      </c>
      <c r="E13" s="4">
        <f t="shared" si="1"/>
        <v>21.920310216782973</v>
      </c>
      <c r="F13" s="5">
        <f t="shared" si="2"/>
        <v>1.873693513026631E-3</v>
      </c>
      <c r="G13" s="5">
        <f t="shared" si="3"/>
        <v>1.8626731544996663E-4</v>
      </c>
    </row>
    <row r="14" spans="1:7">
      <c r="A14" s="3" t="s">
        <v>14</v>
      </c>
      <c r="B14" s="3">
        <v>195</v>
      </c>
      <c r="C14" s="3">
        <v>184</v>
      </c>
      <c r="D14" s="4">
        <f t="shared" si="0"/>
        <v>189.5</v>
      </c>
      <c r="E14" s="4">
        <f t="shared" si="1"/>
        <v>7.7781745930520225</v>
      </c>
      <c r="F14" s="5">
        <f t="shared" si="2"/>
        <v>1.6102717492904608E-3</v>
      </c>
      <c r="G14" s="5">
        <f t="shared" si="3"/>
        <v>6.6094853869342997E-5</v>
      </c>
    </row>
    <row r="15" spans="1:7">
      <c r="A15" s="3" t="s">
        <v>15</v>
      </c>
      <c r="B15" s="3">
        <v>97</v>
      </c>
      <c r="C15" s="3">
        <v>103</v>
      </c>
      <c r="D15" s="4">
        <f t="shared" si="0"/>
        <v>100</v>
      </c>
      <c r="E15" s="4">
        <f t="shared" si="1"/>
        <v>4.2426406871192848</v>
      </c>
      <c r="F15" s="5">
        <f t="shared" si="2"/>
        <v>8.497476249553882E-4</v>
      </c>
      <c r="G15" s="5">
        <f t="shared" si="3"/>
        <v>3.6051738474187085E-5</v>
      </c>
    </row>
    <row r="16" spans="1:7">
      <c r="A16" s="3" t="s">
        <v>16</v>
      </c>
      <c r="B16" s="3">
        <v>82</v>
      </c>
      <c r="C16" s="3">
        <v>60</v>
      </c>
      <c r="D16" s="4">
        <f t="shared" si="0"/>
        <v>71</v>
      </c>
      <c r="E16" s="4">
        <f t="shared" si="1"/>
        <v>15.556349186104045</v>
      </c>
      <c r="F16" s="5">
        <f t="shared" si="2"/>
        <v>6.0332081371832565E-4</v>
      </c>
      <c r="G16" s="5">
        <f t="shared" si="3"/>
        <v>1.3218970773868599E-4</v>
      </c>
    </row>
    <row r="17" spans="1:7">
      <c r="A17" s="3" t="s">
        <v>17</v>
      </c>
      <c r="B17" s="3">
        <v>52</v>
      </c>
      <c r="C17" s="3">
        <v>60</v>
      </c>
      <c r="D17" s="4">
        <f t="shared" si="0"/>
        <v>56</v>
      </c>
      <c r="E17" s="4">
        <f t="shared" si="1"/>
        <v>5.6568542494923806</v>
      </c>
      <c r="F17" s="5">
        <f t="shared" si="2"/>
        <v>4.7585866997501742E-4</v>
      </c>
      <c r="G17" s="5">
        <f t="shared" si="3"/>
        <v>4.8068984632249454E-5</v>
      </c>
    </row>
    <row r="18" spans="1:7">
      <c r="A18" s="3" t="s">
        <v>18</v>
      </c>
      <c r="B18" s="3">
        <v>18</v>
      </c>
      <c r="C18" s="3">
        <v>0</v>
      </c>
      <c r="D18" s="4">
        <f t="shared" si="0"/>
        <v>9</v>
      </c>
      <c r="E18" s="4">
        <f t="shared" si="1"/>
        <v>12.727922061357855</v>
      </c>
      <c r="F18" s="5">
        <f t="shared" si="2"/>
        <v>7.6477286245984943E-5</v>
      </c>
      <c r="G18" s="5">
        <f t="shared" si="3"/>
        <v>1.0815521542256127E-4</v>
      </c>
    </row>
    <row r="19" spans="1:7">
      <c r="A19" s="3" t="s">
        <v>19</v>
      </c>
      <c r="B19" s="3">
        <v>0</v>
      </c>
      <c r="C19" s="3">
        <v>9</v>
      </c>
      <c r="D19" s="4">
        <f t="shared" si="0"/>
        <v>4.5</v>
      </c>
      <c r="E19" s="4">
        <f t="shared" si="1"/>
        <v>6.3639610306789276</v>
      </c>
      <c r="F19" s="5">
        <f t="shared" si="2"/>
        <v>3.8238643122992472E-5</v>
      </c>
      <c r="G19" s="5">
        <f t="shared" si="3"/>
        <v>5.4077607711280635E-5</v>
      </c>
    </row>
    <row r="20" spans="1:7">
      <c r="A20" s="3" t="s">
        <v>20</v>
      </c>
      <c r="B20" s="3">
        <v>0</v>
      </c>
      <c r="C20" s="3">
        <v>7</v>
      </c>
      <c r="D20" s="4">
        <f t="shared" si="0"/>
        <v>3.5</v>
      </c>
      <c r="E20" s="4">
        <f t="shared" si="1"/>
        <v>4.9497474683058327</v>
      </c>
      <c r="F20" s="5">
        <f t="shared" si="2"/>
        <v>2.9741166873438589E-5</v>
      </c>
      <c r="G20" s="5">
        <f t="shared" si="3"/>
        <v>4.2060361553218273E-5</v>
      </c>
    </row>
    <row r="21" spans="1:7">
      <c r="A21" s="3" t="s">
        <v>21</v>
      </c>
      <c r="B21" s="3">
        <v>6</v>
      </c>
      <c r="C21" s="3">
        <v>0</v>
      </c>
      <c r="D21" s="4">
        <f t="shared" si="0"/>
        <v>3</v>
      </c>
      <c r="E21" s="4">
        <f t="shared" si="1"/>
        <v>4.2426406871192848</v>
      </c>
      <c r="F21" s="5">
        <f t="shared" si="2"/>
        <v>2.5492428748661648E-5</v>
      </c>
      <c r="G21" s="5">
        <f t="shared" si="3"/>
        <v>3.6051738474187085E-5</v>
      </c>
    </row>
    <row r="22" spans="1:7">
      <c r="A22" s="3" t="s">
        <v>22</v>
      </c>
      <c r="B22" s="3">
        <v>0</v>
      </c>
      <c r="C22" s="3">
        <v>6</v>
      </c>
      <c r="D22" s="4">
        <f t="shared" si="0"/>
        <v>3</v>
      </c>
      <c r="E22" s="4">
        <f t="shared" si="1"/>
        <v>4.2426406871192848</v>
      </c>
      <c r="F22" s="5">
        <f t="shared" si="2"/>
        <v>2.5492428748661648E-5</v>
      </c>
      <c r="G22" s="5">
        <f t="shared" si="3"/>
        <v>3.6051738474187085E-5</v>
      </c>
    </row>
    <row r="23" spans="1:7">
      <c r="A23" s="3" t="s">
        <v>23</v>
      </c>
      <c r="B23" s="3">
        <v>0</v>
      </c>
      <c r="C23" s="3">
        <v>5</v>
      </c>
      <c r="D23" s="4">
        <f t="shared" si="0"/>
        <v>2.5</v>
      </c>
      <c r="E23" s="4">
        <f t="shared" si="1"/>
        <v>3.5355339059327378</v>
      </c>
      <c r="F23" s="5">
        <f t="shared" si="2"/>
        <v>2.1243690623884706E-5</v>
      </c>
      <c r="G23" s="5">
        <f t="shared" si="3"/>
        <v>3.0043115395155911E-5</v>
      </c>
    </row>
    <row r="24" spans="1:7">
      <c r="A24" s="3" t="s">
        <v>24</v>
      </c>
      <c r="B24" s="3">
        <v>4</v>
      </c>
      <c r="C24" s="3">
        <v>0</v>
      </c>
      <c r="D24" s="4">
        <f t="shared" si="0"/>
        <v>2</v>
      </c>
      <c r="E24" s="4">
        <f t="shared" si="1"/>
        <v>2.8284271247461903</v>
      </c>
      <c r="F24" s="5">
        <f t="shared" si="2"/>
        <v>1.6994952499107765E-5</v>
      </c>
      <c r="G24" s="5">
        <f t="shared" si="3"/>
        <v>2.4034492316124727E-5</v>
      </c>
    </row>
    <row r="25" spans="1:7">
      <c r="A25" s="3" t="s">
        <v>25</v>
      </c>
      <c r="B25" s="3">
        <v>4</v>
      </c>
      <c r="C25" s="3">
        <v>0</v>
      </c>
      <c r="D25" s="4">
        <f t="shared" si="0"/>
        <v>2</v>
      </c>
      <c r="E25" s="4">
        <f t="shared" si="1"/>
        <v>2.8284271247461903</v>
      </c>
      <c r="F25" s="5">
        <f t="shared" si="2"/>
        <v>1.6994952499107765E-5</v>
      </c>
      <c r="G25" s="5">
        <f t="shared" si="3"/>
        <v>2.4034492316124727E-5</v>
      </c>
    </row>
    <row r="26" spans="1:7">
      <c r="A26" s="3" t="s">
        <v>26</v>
      </c>
      <c r="B26" s="3">
        <v>4</v>
      </c>
      <c r="C26" s="3">
        <v>0</v>
      </c>
      <c r="D26" s="4">
        <f t="shared" si="0"/>
        <v>2</v>
      </c>
      <c r="E26" s="4">
        <f t="shared" si="1"/>
        <v>2.8284271247461903</v>
      </c>
      <c r="F26" s="5">
        <f t="shared" si="2"/>
        <v>1.6994952499107765E-5</v>
      </c>
      <c r="G26" s="5">
        <f t="shared" si="3"/>
        <v>2.4034492316124727E-5</v>
      </c>
    </row>
    <row r="27" spans="1:7">
      <c r="A27" s="3" t="s">
        <v>27</v>
      </c>
      <c r="B27" s="3">
        <v>0</v>
      </c>
      <c r="C27" s="3">
        <v>4</v>
      </c>
      <c r="D27" s="4">
        <f t="shared" si="0"/>
        <v>2</v>
      </c>
      <c r="E27" s="4">
        <f t="shared" si="1"/>
        <v>2.8284271247461903</v>
      </c>
      <c r="F27" s="5">
        <f t="shared" si="2"/>
        <v>1.6994952499107765E-5</v>
      </c>
      <c r="G27" s="5">
        <f t="shared" si="3"/>
        <v>2.4034492316124727E-5</v>
      </c>
    </row>
    <row r="28" spans="1:7">
      <c r="A28" s="3" t="s">
        <v>28</v>
      </c>
      <c r="B28" s="3">
        <v>3</v>
      </c>
      <c r="C28" s="3">
        <v>0</v>
      </c>
      <c r="D28" s="4">
        <f t="shared" si="0"/>
        <v>1.5</v>
      </c>
      <c r="E28" s="4">
        <f t="shared" si="1"/>
        <v>2.1213203435596424</v>
      </c>
      <c r="F28" s="5">
        <f t="shared" si="2"/>
        <v>1.2746214374330824E-5</v>
      </c>
      <c r="G28" s="5">
        <f t="shared" si="3"/>
        <v>1.8025869237093543E-5</v>
      </c>
    </row>
    <row r="29" spans="1:7">
      <c r="A29" s="3" t="s">
        <v>29</v>
      </c>
      <c r="B29" s="3">
        <v>2</v>
      </c>
      <c r="C29" s="3">
        <v>0</v>
      </c>
      <c r="D29" s="4">
        <f t="shared" si="0"/>
        <v>1</v>
      </c>
      <c r="E29" s="4">
        <f t="shared" si="1"/>
        <v>1.4142135623730951</v>
      </c>
      <c r="F29" s="5">
        <f t="shared" si="2"/>
        <v>8.4974762495538826E-6</v>
      </c>
      <c r="G29" s="5">
        <f t="shared" si="3"/>
        <v>1.2017246158062363E-5</v>
      </c>
    </row>
    <row r="30" spans="1:7">
      <c r="A30" s="3" t="s">
        <v>30</v>
      </c>
      <c r="B30" s="3">
        <v>0</v>
      </c>
      <c r="C30" s="3">
        <v>2</v>
      </c>
      <c r="D30" s="4">
        <f t="shared" si="0"/>
        <v>1</v>
      </c>
      <c r="E30" s="4">
        <f>STDEV(B30:C30)</f>
        <v>1.4142135623730951</v>
      </c>
      <c r="F30" s="5">
        <f t="shared" si="2"/>
        <v>8.4974762495538826E-6</v>
      </c>
      <c r="G30" s="5">
        <f t="shared" si="3"/>
        <v>1.2017246158062363E-5</v>
      </c>
    </row>
    <row r="32" spans="1:7">
      <c r="F32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C1F7-DFB6-4D4A-A04C-C0E5651209D4}">
  <dimension ref="A1:Q598"/>
  <sheetViews>
    <sheetView workbookViewId="0">
      <selection sqref="A1:Q598"/>
    </sheetView>
  </sheetViews>
  <sheetFormatPr baseColWidth="10" defaultRowHeight="16"/>
  <cols>
    <col min="1" max="1" width="11.5" bestFit="1" customWidth="1"/>
    <col min="2" max="2" width="6.83203125" bestFit="1" customWidth="1"/>
    <col min="3" max="3" width="6.33203125" bestFit="1" customWidth="1"/>
    <col min="4" max="4" width="6.83203125" bestFit="1" customWidth="1"/>
    <col min="5" max="5" width="6.33203125" bestFit="1" customWidth="1"/>
    <col min="6" max="6" width="6.6640625" bestFit="1" customWidth="1"/>
    <col min="7" max="7" width="6.1640625" bestFit="1" customWidth="1"/>
    <col min="8" max="8" width="6.83203125" bestFit="1" customWidth="1"/>
    <col min="9" max="9" width="6.33203125" bestFit="1" customWidth="1"/>
    <col min="10" max="10" width="6.6640625" bestFit="1" customWidth="1"/>
    <col min="11" max="11" width="6.1640625" bestFit="1" customWidth="1"/>
    <col min="12" max="12" width="6.6640625" bestFit="1" customWidth="1"/>
    <col min="13" max="13" width="6.1640625" bestFit="1" customWidth="1"/>
    <col min="14" max="14" width="6.5" bestFit="1" customWidth="1"/>
    <col min="15" max="15" width="6" bestFit="1" customWidth="1"/>
    <col min="16" max="16" width="6.6640625" bestFit="1" customWidth="1"/>
    <col min="17" max="17" width="6.1640625" bestFit="1" customWidth="1"/>
  </cols>
  <sheetData>
    <row r="1" spans="1:17">
      <c r="A1" s="3" t="s">
        <v>636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8">
      <c r="A2" s="3" t="s">
        <v>0</v>
      </c>
      <c r="B2" s="6" t="s">
        <v>643</v>
      </c>
      <c r="C2" s="6" t="s">
        <v>644</v>
      </c>
      <c r="D2" s="6" t="s">
        <v>645</v>
      </c>
      <c r="E2" s="6" t="s">
        <v>646</v>
      </c>
      <c r="F2" s="6" t="s">
        <v>647</v>
      </c>
      <c r="G2" s="6" t="s">
        <v>648</v>
      </c>
      <c r="H2" s="6" t="s">
        <v>649</v>
      </c>
      <c r="I2" s="6" t="s">
        <v>650</v>
      </c>
      <c r="J2" s="6" t="s">
        <v>651</v>
      </c>
      <c r="K2" s="6" t="s">
        <v>652</v>
      </c>
      <c r="L2" s="6" t="s">
        <v>653</v>
      </c>
      <c r="M2" s="6" t="s">
        <v>654</v>
      </c>
      <c r="N2" s="6" t="s">
        <v>655</v>
      </c>
      <c r="O2" s="6" t="s">
        <v>656</v>
      </c>
      <c r="P2" s="6" t="s">
        <v>657</v>
      </c>
      <c r="Q2" s="6" t="s">
        <v>658</v>
      </c>
    </row>
    <row r="3" spans="1:17">
      <c r="A3" s="3" t="s">
        <v>31</v>
      </c>
      <c r="B3" s="3">
        <v>6722</v>
      </c>
      <c r="C3" s="3">
        <v>5340</v>
      </c>
      <c r="D3" s="3">
        <v>5367</v>
      </c>
      <c r="E3" s="3">
        <v>5757</v>
      </c>
      <c r="F3" s="3">
        <v>4247</v>
      </c>
      <c r="G3" s="3">
        <v>5703</v>
      </c>
      <c r="H3" s="3">
        <v>5872</v>
      </c>
      <c r="I3" s="3">
        <v>3413</v>
      </c>
      <c r="J3" s="3">
        <v>3937</v>
      </c>
      <c r="K3" s="3">
        <v>4452</v>
      </c>
      <c r="L3" s="3">
        <v>5688</v>
      </c>
      <c r="M3" s="3">
        <v>5638</v>
      </c>
      <c r="N3" s="3">
        <v>7180</v>
      </c>
      <c r="O3" s="3">
        <v>6293</v>
      </c>
      <c r="P3" s="3">
        <v>5550</v>
      </c>
      <c r="Q3" s="3">
        <v>5511</v>
      </c>
    </row>
    <row r="4" spans="1:17">
      <c r="A4" s="3" t="s">
        <v>32</v>
      </c>
      <c r="B4" s="3">
        <v>4811</v>
      </c>
      <c r="C4" s="3">
        <v>4524</v>
      </c>
      <c r="D4" s="3">
        <v>6859</v>
      </c>
      <c r="E4" s="3">
        <v>4001</v>
      </c>
      <c r="F4" s="3">
        <v>2859</v>
      </c>
      <c r="G4" s="3">
        <v>2166</v>
      </c>
      <c r="H4" s="3">
        <v>6037</v>
      </c>
      <c r="I4" s="3">
        <v>3842</v>
      </c>
      <c r="J4" s="3">
        <v>4098</v>
      </c>
      <c r="K4" s="3">
        <v>4536</v>
      </c>
      <c r="L4" s="3">
        <v>3935</v>
      </c>
      <c r="M4" s="3">
        <v>2746</v>
      </c>
      <c r="N4" s="3">
        <v>6280</v>
      </c>
      <c r="O4" s="3">
        <v>4569</v>
      </c>
      <c r="P4" s="3">
        <v>3746</v>
      </c>
      <c r="Q4" s="3">
        <v>2299</v>
      </c>
    </row>
    <row r="5" spans="1:17">
      <c r="A5" s="3" t="s">
        <v>33</v>
      </c>
      <c r="B5" s="3">
        <v>7325</v>
      </c>
      <c r="C5" s="3">
        <v>4613</v>
      </c>
      <c r="D5" s="3">
        <v>1941</v>
      </c>
      <c r="E5" s="3">
        <v>1878</v>
      </c>
      <c r="F5" s="3">
        <v>2290</v>
      </c>
      <c r="G5" s="3">
        <v>2489</v>
      </c>
      <c r="H5" s="3">
        <v>3612</v>
      </c>
      <c r="I5" s="3">
        <v>4355</v>
      </c>
      <c r="J5" s="3">
        <v>2521</v>
      </c>
      <c r="K5" s="3">
        <v>3280</v>
      </c>
      <c r="L5" s="3">
        <v>1190</v>
      </c>
      <c r="M5" s="3">
        <v>1742</v>
      </c>
      <c r="N5" s="3">
        <v>1395</v>
      </c>
      <c r="O5" s="3">
        <v>876</v>
      </c>
      <c r="P5" s="3">
        <v>1405</v>
      </c>
      <c r="Q5" s="3">
        <v>966</v>
      </c>
    </row>
    <row r="6" spans="1:17">
      <c r="A6" s="3" t="s">
        <v>34</v>
      </c>
      <c r="B6" s="3">
        <v>2392</v>
      </c>
      <c r="C6" s="3">
        <v>1549</v>
      </c>
      <c r="D6" s="3">
        <v>1663</v>
      </c>
      <c r="E6" s="3">
        <v>1294</v>
      </c>
      <c r="F6" s="3">
        <v>1350</v>
      </c>
      <c r="G6" s="3">
        <v>1996</v>
      </c>
      <c r="H6" s="3">
        <v>2032</v>
      </c>
      <c r="I6" s="3">
        <v>2226</v>
      </c>
      <c r="J6" s="3">
        <v>1053</v>
      </c>
      <c r="K6" s="3">
        <v>1606</v>
      </c>
      <c r="L6" s="3">
        <v>1342</v>
      </c>
      <c r="M6" s="3">
        <v>1722</v>
      </c>
      <c r="N6" s="3">
        <v>2276</v>
      </c>
      <c r="O6" s="3">
        <v>994</v>
      </c>
      <c r="P6" s="3">
        <v>2046</v>
      </c>
      <c r="Q6" s="3">
        <v>2286</v>
      </c>
    </row>
    <row r="7" spans="1:17">
      <c r="A7" s="3" t="s">
        <v>35</v>
      </c>
      <c r="B7" s="3">
        <v>2482</v>
      </c>
      <c r="C7" s="3">
        <v>1597</v>
      </c>
      <c r="D7" s="3">
        <v>2476</v>
      </c>
      <c r="E7" s="3">
        <v>1421</v>
      </c>
      <c r="F7" s="3">
        <v>1381</v>
      </c>
      <c r="G7" s="3">
        <v>1875</v>
      </c>
      <c r="H7" s="3">
        <v>15</v>
      </c>
      <c r="I7" s="3">
        <v>15</v>
      </c>
      <c r="J7" s="3">
        <v>1631</v>
      </c>
      <c r="K7" s="3">
        <v>1984</v>
      </c>
      <c r="L7" s="3">
        <v>2814</v>
      </c>
      <c r="M7" s="3">
        <v>1508</v>
      </c>
      <c r="N7" s="3">
        <v>1765</v>
      </c>
      <c r="O7" s="3">
        <v>529</v>
      </c>
      <c r="P7" s="3">
        <v>1710</v>
      </c>
      <c r="Q7" s="3">
        <v>1379</v>
      </c>
    </row>
    <row r="8" spans="1:17">
      <c r="A8" s="3" t="s">
        <v>36</v>
      </c>
      <c r="B8" s="3">
        <v>1314</v>
      </c>
      <c r="C8" s="3">
        <v>946</v>
      </c>
      <c r="D8" s="3">
        <v>1320</v>
      </c>
      <c r="E8" s="3">
        <v>963</v>
      </c>
      <c r="F8" s="3">
        <v>1521</v>
      </c>
      <c r="G8" s="3">
        <v>1884</v>
      </c>
      <c r="H8" s="3">
        <v>1762</v>
      </c>
      <c r="I8" s="3">
        <v>1564</v>
      </c>
      <c r="J8" s="3">
        <v>534</v>
      </c>
      <c r="K8" s="3">
        <v>1053</v>
      </c>
      <c r="L8" s="3">
        <v>164</v>
      </c>
      <c r="M8" s="3">
        <v>1259</v>
      </c>
      <c r="N8" s="3">
        <v>2539</v>
      </c>
      <c r="O8" s="3">
        <v>1237</v>
      </c>
      <c r="P8" s="3">
        <v>1424</v>
      </c>
      <c r="Q8" s="3">
        <v>2231</v>
      </c>
    </row>
    <row r="9" spans="1:17">
      <c r="A9" s="3" t="s">
        <v>37</v>
      </c>
      <c r="B9" s="3">
        <v>203</v>
      </c>
      <c r="C9" s="3">
        <v>1131</v>
      </c>
      <c r="D9" s="3">
        <v>307</v>
      </c>
      <c r="E9" s="3">
        <v>3046</v>
      </c>
      <c r="F9" s="3">
        <v>539</v>
      </c>
      <c r="G9" s="3">
        <v>1088</v>
      </c>
      <c r="H9" s="3">
        <v>205</v>
      </c>
      <c r="I9" s="3">
        <v>519</v>
      </c>
      <c r="J9" s="3">
        <v>232</v>
      </c>
      <c r="K9" s="3">
        <v>1629</v>
      </c>
      <c r="L9" s="3">
        <v>26</v>
      </c>
      <c r="M9" s="3">
        <v>2530</v>
      </c>
      <c r="N9" s="3">
        <v>622</v>
      </c>
      <c r="O9" s="3">
        <v>1271</v>
      </c>
      <c r="P9" s="3">
        <v>339</v>
      </c>
      <c r="Q9" s="3">
        <v>833</v>
      </c>
    </row>
    <row r="10" spans="1:17">
      <c r="A10" s="3" t="s">
        <v>38</v>
      </c>
      <c r="B10" s="3">
        <v>1340</v>
      </c>
      <c r="C10" s="3">
        <v>555</v>
      </c>
      <c r="D10" s="3">
        <v>1424</v>
      </c>
      <c r="E10" s="3">
        <v>1008</v>
      </c>
      <c r="F10" s="3">
        <v>917</v>
      </c>
      <c r="G10" s="3">
        <v>829</v>
      </c>
      <c r="H10" s="3">
        <v>481</v>
      </c>
      <c r="I10" s="3">
        <v>504</v>
      </c>
      <c r="J10" s="3">
        <v>545</v>
      </c>
      <c r="K10" s="3">
        <v>152</v>
      </c>
      <c r="L10" s="3">
        <v>1267</v>
      </c>
      <c r="M10" s="3">
        <v>1188</v>
      </c>
      <c r="N10" s="3">
        <v>803</v>
      </c>
      <c r="O10" s="3">
        <v>274</v>
      </c>
      <c r="P10" s="3">
        <v>282</v>
      </c>
      <c r="Q10" s="3">
        <v>994</v>
      </c>
    </row>
    <row r="11" spans="1:17">
      <c r="A11" s="3" t="s">
        <v>39</v>
      </c>
      <c r="B11" s="3">
        <v>1042</v>
      </c>
      <c r="C11" s="3">
        <v>741</v>
      </c>
      <c r="D11" s="3">
        <v>310</v>
      </c>
      <c r="E11" s="3">
        <v>176</v>
      </c>
      <c r="F11" s="3">
        <v>131</v>
      </c>
      <c r="G11" s="3">
        <v>314</v>
      </c>
      <c r="H11" s="3">
        <v>662</v>
      </c>
      <c r="I11" s="3">
        <v>597</v>
      </c>
      <c r="J11" s="3">
        <v>785</v>
      </c>
      <c r="K11" s="3">
        <v>2129</v>
      </c>
      <c r="L11" s="3">
        <v>544</v>
      </c>
      <c r="M11" s="3">
        <v>318</v>
      </c>
      <c r="N11" s="3">
        <v>437</v>
      </c>
      <c r="O11" s="3">
        <v>254</v>
      </c>
      <c r="P11" s="3">
        <v>1079</v>
      </c>
      <c r="Q11" s="3">
        <v>1696</v>
      </c>
    </row>
    <row r="12" spans="1:17">
      <c r="A12" s="3" t="s">
        <v>40</v>
      </c>
      <c r="B12" s="3">
        <v>561</v>
      </c>
      <c r="C12" s="3">
        <v>340</v>
      </c>
      <c r="D12" s="3">
        <v>936</v>
      </c>
      <c r="E12" s="3">
        <v>696</v>
      </c>
      <c r="F12" s="3">
        <v>839</v>
      </c>
      <c r="G12" s="3">
        <v>885</v>
      </c>
      <c r="H12" s="3">
        <v>165</v>
      </c>
      <c r="I12" s="3">
        <v>72</v>
      </c>
      <c r="J12" s="3">
        <v>757</v>
      </c>
      <c r="K12" s="3">
        <v>681</v>
      </c>
      <c r="L12" s="3">
        <v>869</v>
      </c>
      <c r="M12" s="3">
        <v>414</v>
      </c>
      <c r="N12" s="3">
        <v>1091</v>
      </c>
      <c r="O12" s="3">
        <v>662</v>
      </c>
      <c r="P12" s="3">
        <v>777</v>
      </c>
      <c r="Q12" s="3">
        <v>594</v>
      </c>
    </row>
    <row r="13" spans="1:17">
      <c r="A13" s="3" t="s">
        <v>41</v>
      </c>
      <c r="B13" s="3">
        <v>831</v>
      </c>
      <c r="C13" s="3">
        <v>614</v>
      </c>
      <c r="D13" s="3">
        <v>934</v>
      </c>
      <c r="E13" s="3">
        <v>831</v>
      </c>
      <c r="F13" s="3">
        <v>691</v>
      </c>
      <c r="G13" s="3">
        <v>984</v>
      </c>
      <c r="H13" s="3">
        <v>465</v>
      </c>
      <c r="I13" s="3">
        <v>472</v>
      </c>
      <c r="J13" s="3">
        <v>383</v>
      </c>
      <c r="K13" s="3">
        <v>371</v>
      </c>
      <c r="L13" s="3">
        <v>954</v>
      </c>
      <c r="M13" s="3">
        <v>950</v>
      </c>
      <c r="N13" s="3">
        <v>759</v>
      </c>
      <c r="O13" s="3">
        <v>247</v>
      </c>
      <c r="P13" s="3">
        <v>74</v>
      </c>
      <c r="Q13" s="3">
        <v>571</v>
      </c>
    </row>
    <row r="14" spans="1:17">
      <c r="A14" s="3" t="s">
        <v>42</v>
      </c>
      <c r="B14" s="3">
        <v>309</v>
      </c>
      <c r="C14" s="3">
        <v>362</v>
      </c>
      <c r="D14" s="3">
        <v>1497</v>
      </c>
      <c r="E14" s="3">
        <v>560</v>
      </c>
      <c r="F14" s="3">
        <v>504</v>
      </c>
      <c r="G14" s="3">
        <v>450</v>
      </c>
      <c r="H14" s="3">
        <v>704</v>
      </c>
      <c r="I14" s="3">
        <v>531</v>
      </c>
      <c r="J14" s="3">
        <v>141</v>
      </c>
      <c r="K14" s="3">
        <v>159</v>
      </c>
      <c r="L14" s="3">
        <v>489</v>
      </c>
      <c r="M14" s="3">
        <v>651</v>
      </c>
      <c r="N14" s="3">
        <v>137</v>
      </c>
      <c r="O14" s="3">
        <v>200</v>
      </c>
      <c r="P14" s="3">
        <v>1977</v>
      </c>
      <c r="Q14" s="3">
        <v>371</v>
      </c>
    </row>
    <row r="15" spans="1:17">
      <c r="A15" s="3" t="s">
        <v>43</v>
      </c>
      <c r="B15" s="3">
        <v>303</v>
      </c>
      <c r="C15" s="3">
        <v>316</v>
      </c>
      <c r="D15" s="3">
        <v>708</v>
      </c>
      <c r="E15" s="3">
        <v>861</v>
      </c>
      <c r="F15" s="3">
        <v>642</v>
      </c>
      <c r="G15" s="3">
        <v>622</v>
      </c>
      <c r="H15" s="3">
        <v>619</v>
      </c>
      <c r="I15" s="3">
        <v>376</v>
      </c>
      <c r="J15" s="3">
        <v>232</v>
      </c>
      <c r="K15" s="3">
        <v>330</v>
      </c>
      <c r="L15" s="3">
        <v>447</v>
      </c>
      <c r="M15" s="3">
        <v>953</v>
      </c>
      <c r="N15" s="3">
        <v>416</v>
      </c>
      <c r="O15" s="3">
        <v>464</v>
      </c>
      <c r="P15" s="3">
        <v>634</v>
      </c>
      <c r="Q15" s="3">
        <v>847</v>
      </c>
    </row>
    <row r="16" spans="1:17">
      <c r="A16" s="3" t="s">
        <v>44</v>
      </c>
      <c r="B16" s="3">
        <v>617</v>
      </c>
      <c r="C16" s="3">
        <v>375</v>
      </c>
      <c r="D16" s="3">
        <v>1008</v>
      </c>
      <c r="E16" s="3">
        <v>758</v>
      </c>
      <c r="F16" s="3">
        <v>196</v>
      </c>
      <c r="G16" s="3">
        <v>213</v>
      </c>
      <c r="H16" s="3">
        <v>65</v>
      </c>
      <c r="I16" s="3">
        <v>54</v>
      </c>
      <c r="J16" s="3">
        <v>829</v>
      </c>
      <c r="K16" s="3">
        <v>866</v>
      </c>
      <c r="L16" s="3">
        <v>130</v>
      </c>
      <c r="M16" s="3">
        <v>67</v>
      </c>
      <c r="N16" s="3">
        <v>149</v>
      </c>
      <c r="O16" s="3">
        <v>65</v>
      </c>
      <c r="P16" s="3">
        <v>1664</v>
      </c>
      <c r="Q16" s="3">
        <v>1274</v>
      </c>
    </row>
    <row r="17" spans="1:17">
      <c r="A17" s="3" t="s">
        <v>45</v>
      </c>
      <c r="B17" s="3">
        <v>480</v>
      </c>
      <c r="C17" s="3">
        <v>288</v>
      </c>
      <c r="D17" s="3">
        <v>753</v>
      </c>
      <c r="E17" s="3">
        <v>677</v>
      </c>
      <c r="F17" s="3">
        <v>697</v>
      </c>
      <c r="G17" s="3">
        <v>1185</v>
      </c>
      <c r="H17" s="3">
        <v>246</v>
      </c>
      <c r="I17" s="3">
        <v>203</v>
      </c>
      <c r="J17" s="3">
        <v>414</v>
      </c>
      <c r="K17" s="3">
        <v>620</v>
      </c>
      <c r="L17" s="3">
        <v>325</v>
      </c>
      <c r="M17" s="3">
        <v>612</v>
      </c>
      <c r="N17" s="3">
        <v>430</v>
      </c>
      <c r="O17" s="3">
        <v>255</v>
      </c>
      <c r="P17" s="3">
        <v>621</v>
      </c>
      <c r="Q17" s="3">
        <v>387</v>
      </c>
    </row>
    <row r="18" spans="1:17">
      <c r="A18" s="3" t="s">
        <v>46</v>
      </c>
      <c r="B18" s="3">
        <v>365</v>
      </c>
      <c r="C18" s="3">
        <v>173</v>
      </c>
      <c r="D18" s="3">
        <v>305</v>
      </c>
      <c r="E18" s="3">
        <v>156</v>
      </c>
      <c r="F18" s="3">
        <v>438</v>
      </c>
      <c r="G18" s="3">
        <v>133</v>
      </c>
      <c r="H18" s="3">
        <v>175</v>
      </c>
      <c r="I18" s="3">
        <v>148</v>
      </c>
      <c r="J18" s="3">
        <v>222</v>
      </c>
      <c r="K18" s="3">
        <v>399</v>
      </c>
      <c r="L18" s="3">
        <v>1205</v>
      </c>
      <c r="M18" s="3">
        <v>572</v>
      </c>
      <c r="N18" s="3">
        <v>656</v>
      </c>
      <c r="O18" s="3">
        <v>320</v>
      </c>
      <c r="P18" s="3">
        <v>2350</v>
      </c>
      <c r="Q18" s="3">
        <v>393</v>
      </c>
    </row>
    <row r="19" spans="1:17">
      <c r="A19" s="3" t="s">
        <v>47</v>
      </c>
      <c r="B19" s="3">
        <v>150</v>
      </c>
      <c r="C19" s="3">
        <v>112</v>
      </c>
      <c r="D19" s="3">
        <v>395</v>
      </c>
      <c r="E19" s="3">
        <v>192</v>
      </c>
      <c r="F19" s="3">
        <v>356</v>
      </c>
      <c r="G19" s="3">
        <v>289</v>
      </c>
      <c r="H19" s="3">
        <v>508</v>
      </c>
      <c r="I19" s="3">
        <v>245</v>
      </c>
      <c r="J19" s="3">
        <v>744</v>
      </c>
      <c r="K19" s="3">
        <v>737</v>
      </c>
      <c r="L19" s="3">
        <v>1720</v>
      </c>
      <c r="M19" s="3">
        <v>783</v>
      </c>
      <c r="N19" s="3">
        <v>821</v>
      </c>
      <c r="O19" s="3">
        <v>536</v>
      </c>
      <c r="P19" s="3">
        <v>229</v>
      </c>
      <c r="Q19" s="3">
        <v>102</v>
      </c>
    </row>
    <row r="20" spans="1:17">
      <c r="A20" s="3" t="s">
        <v>48</v>
      </c>
      <c r="B20" s="3">
        <v>292</v>
      </c>
      <c r="C20" s="3">
        <v>277</v>
      </c>
      <c r="D20" s="3">
        <v>661</v>
      </c>
      <c r="E20" s="3">
        <v>847</v>
      </c>
      <c r="F20" s="3">
        <v>423</v>
      </c>
      <c r="G20" s="3">
        <v>378</v>
      </c>
      <c r="H20" s="3">
        <v>468</v>
      </c>
      <c r="I20" s="3">
        <v>321</v>
      </c>
      <c r="J20" s="3">
        <v>455</v>
      </c>
      <c r="K20" s="3">
        <v>572</v>
      </c>
      <c r="L20" s="3">
        <v>336</v>
      </c>
      <c r="M20" s="3">
        <v>930</v>
      </c>
      <c r="N20" s="3">
        <v>599</v>
      </c>
      <c r="O20" s="3">
        <v>421</v>
      </c>
      <c r="P20" s="3">
        <v>522</v>
      </c>
      <c r="Q20" s="3">
        <v>410</v>
      </c>
    </row>
    <row r="21" spans="1:17">
      <c r="A21" s="3" t="s">
        <v>49</v>
      </c>
      <c r="B21" s="3">
        <v>188</v>
      </c>
      <c r="C21" s="3">
        <v>103</v>
      </c>
      <c r="D21" s="3">
        <v>197</v>
      </c>
      <c r="E21" s="3">
        <v>105</v>
      </c>
      <c r="F21" s="3">
        <v>291</v>
      </c>
      <c r="G21" s="3">
        <v>123</v>
      </c>
      <c r="H21" s="3">
        <v>143</v>
      </c>
      <c r="I21" s="3">
        <v>111</v>
      </c>
      <c r="J21" s="3">
        <v>299</v>
      </c>
      <c r="K21" s="3">
        <v>433</v>
      </c>
      <c r="L21" s="3">
        <v>1202</v>
      </c>
      <c r="M21" s="3">
        <v>544</v>
      </c>
      <c r="N21" s="3">
        <v>600</v>
      </c>
      <c r="O21" s="3">
        <v>277</v>
      </c>
      <c r="P21" s="3">
        <v>2570</v>
      </c>
      <c r="Q21" s="3">
        <v>349</v>
      </c>
    </row>
    <row r="22" spans="1:17">
      <c r="A22" s="3" t="s">
        <v>50</v>
      </c>
      <c r="B22" s="3">
        <v>364</v>
      </c>
      <c r="C22" s="3">
        <v>271</v>
      </c>
      <c r="D22" s="3">
        <v>593</v>
      </c>
      <c r="E22" s="3">
        <v>847</v>
      </c>
      <c r="F22" s="3">
        <v>314</v>
      </c>
      <c r="G22" s="3">
        <v>247</v>
      </c>
      <c r="H22" s="3">
        <v>385</v>
      </c>
      <c r="I22" s="3">
        <v>319</v>
      </c>
      <c r="J22" s="3">
        <v>311</v>
      </c>
      <c r="K22" s="3">
        <v>405</v>
      </c>
      <c r="L22" s="3">
        <v>271</v>
      </c>
      <c r="M22" s="3">
        <v>773</v>
      </c>
      <c r="N22" s="3">
        <v>551</v>
      </c>
      <c r="O22" s="3">
        <v>395</v>
      </c>
      <c r="P22" s="3">
        <v>531</v>
      </c>
      <c r="Q22" s="3">
        <v>409</v>
      </c>
    </row>
    <row r="23" spans="1:17">
      <c r="A23" s="3" t="s">
        <v>51</v>
      </c>
      <c r="B23" s="3">
        <v>952</v>
      </c>
      <c r="C23" s="3">
        <v>721</v>
      </c>
      <c r="D23" s="3">
        <v>433</v>
      </c>
      <c r="E23" s="3">
        <v>422</v>
      </c>
      <c r="F23" s="3">
        <v>596</v>
      </c>
      <c r="G23" s="3">
        <v>857</v>
      </c>
      <c r="H23" s="3">
        <v>611</v>
      </c>
      <c r="I23" s="3">
        <v>648</v>
      </c>
      <c r="J23" s="3">
        <v>66</v>
      </c>
      <c r="K23" s="3">
        <v>111</v>
      </c>
      <c r="L23" s="3">
        <v>224</v>
      </c>
      <c r="M23" s="3">
        <v>493</v>
      </c>
      <c r="N23" s="3">
        <v>314</v>
      </c>
      <c r="O23" s="3">
        <v>158</v>
      </c>
      <c r="P23" s="3">
        <v>88</v>
      </c>
      <c r="Q23" s="3">
        <v>170</v>
      </c>
    </row>
    <row r="24" spans="1:17">
      <c r="A24" s="3" t="s">
        <v>52</v>
      </c>
      <c r="B24" s="3">
        <v>736</v>
      </c>
      <c r="C24" s="3">
        <v>325</v>
      </c>
      <c r="D24" s="3">
        <v>681</v>
      </c>
      <c r="E24" s="3">
        <v>458</v>
      </c>
      <c r="F24" s="3">
        <v>423</v>
      </c>
      <c r="G24" s="3">
        <v>381</v>
      </c>
      <c r="H24" s="3">
        <v>268</v>
      </c>
      <c r="I24" s="3">
        <v>256</v>
      </c>
      <c r="J24" s="3">
        <v>580</v>
      </c>
      <c r="K24" s="3">
        <v>100</v>
      </c>
      <c r="L24" s="3">
        <v>552</v>
      </c>
      <c r="M24" s="3">
        <v>507</v>
      </c>
      <c r="N24" s="3">
        <v>348</v>
      </c>
      <c r="O24" s="3">
        <v>131</v>
      </c>
      <c r="P24" s="3">
        <v>106</v>
      </c>
      <c r="Q24" s="3">
        <v>441</v>
      </c>
    </row>
    <row r="25" spans="1:17">
      <c r="A25" s="3" t="s">
        <v>53</v>
      </c>
      <c r="B25" s="3">
        <v>415</v>
      </c>
      <c r="C25" s="3">
        <v>381</v>
      </c>
      <c r="D25" s="3">
        <v>503</v>
      </c>
      <c r="E25" s="3">
        <v>294</v>
      </c>
      <c r="F25" s="3">
        <v>495</v>
      </c>
      <c r="G25" s="3">
        <v>274</v>
      </c>
      <c r="H25" s="3">
        <v>473</v>
      </c>
      <c r="I25" s="3">
        <v>381</v>
      </c>
      <c r="J25" s="3">
        <v>403</v>
      </c>
      <c r="K25" s="3">
        <v>222</v>
      </c>
      <c r="L25" s="3">
        <v>224</v>
      </c>
      <c r="M25" s="3">
        <v>385</v>
      </c>
      <c r="N25" s="3">
        <v>458</v>
      </c>
      <c r="O25" s="3">
        <v>284</v>
      </c>
      <c r="P25" s="3">
        <v>728</v>
      </c>
      <c r="Q25" s="3">
        <v>246</v>
      </c>
    </row>
    <row r="26" spans="1:17">
      <c r="A26" s="3" t="s">
        <v>54</v>
      </c>
      <c r="B26" s="3">
        <v>741</v>
      </c>
      <c r="C26" s="3">
        <v>468</v>
      </c>
      <c r="D26" s="3">
        <v>527</v>
      </c>
      <c r="E26" s="3">
        <v>378</v>
      </c>
      <c r="F26" s="3">
        <v>501</v>
      </c>
      <c r="G26" s="3">
        <v>701</v>
      </c>
      <c r="H26" s="3">
        <v>191</v>
      </c>
      <c r="I26" s="3">
        <v>175</v>
      </c>
      <c r="J26" s="3">
        <v>140</v>
      </c>
      <c r="K26" s="3">
        <v>252</v>
      </c>
      <c r="L26" s="3">
        <v>440</v>
      </c>
      <c r="M26" s="3">
        <v>528</v>
      </c>
      <c r="N26" s="3">
        <v>325</v>
      </c>
      <c r="O26" s="3">
        <v>144</v>
      </c>
      <c r="P26" s="3">
        <v>191</v>
      </c>
      <c r="Q26" s="3">
        <v>338</v>
      </c>
    </row>
    <row r="27" spans="1:17">
      <c r="A27" s="3" t="s">
        <v>55</v>
      </c>
      <c r="B27" s="3">
        <v>1574</v>
      </c>
      <c r="C27" s="3">
        <v>885</v>
      </c>
      <c r="D27" s="3">
        <v>145</v>
      </c>
      <c r="E27" s="3">
        <v>111</v>
      </c>
      <c r="F27" s="3">
        <v>0</v>
      </c>
      <c r="G27" s="3">
        <v>13</v>
      </c>
      <c r="H27" s="3">
        <v>423</v>
      </c>
      <c r="I27" s="3">
        <v>433</v>
      </c>
      <c r="J27" s="3">
        <v>250</v>
      </c>
      <c r="K27" s="3">
        <v>416</v>
      </c>
      <c r="L27" s="3">
        <v>652</v>
      </c>
      <c r="M27" s="3">
        <v>825</v>
      </c>
      <c r="N27" s="3">
        <v>0</v>
      </c>
      <c r="O27" s="3">
        <v>0</v>
      </c>
      <c r="P27" s="3">
        <v>0</v>
      </c>
      <c r="Q27" s="3">
        <v>0</v>
      </c>
    </row>
    <row r="28" spans="1:17">
      <c r="A28" s="3" t="s">
        <v>56</v>
      </c>
      <c r="B28" s="3">
        <v>312</v>
      </c>
      <c r="C28" s="3">
        <v>209</v>
      </c>
      <c r="D28" s="3">
        <v>379</v>
      </c>
      <c r="E28" s="3">
        <v>353</v>
      </c>
      <c r="F28" s="3">
        <v>318</v>
      </c>
      <c r="G28" s="3">
        <v>309</v>
      </c>
      <c r="H28" s="3">
        <v>328</v>
      </c>
      <c r="I28" s="3">
        <v>253</v>
      </c>
      <c r="J28" s="3">
        <v>249</v>
      </c>
      <c r="K28" s="3">
        <v>255</v>
      </c>
      <c r="L28" s="3">
        <v>461</v>
      </c>
      <c r="M28" s="3">
        <v>423</v>
      </c>
      <c r="N28" s="3">
        <v>310</v>
      </c>
      <c r="O28" s="3">
        <v>352</v>
      </c>
      <c r="P28" s="3">
        <v>643</v>
      </c>
      <c r="Q28" s="3">
        <v>283</v>
      </c>
    </row>
    <row r="29" spans="1:17">
      <c r="A29" s="3" t="s">
        <v>57</v>
      </c>
      <c r="B29" s="3">
        <v>276</v>
      </c>
      <c r="C29" s="3">
        <v>316</v>
      </c>
      <c r="D29" s="3">
        <v>150</v>
      </c>
      <c r="E29" s="3">
        <v>91</v>
      </c>
      <c r="F29" s="3">
        <v>135</v>
      </c>
      <c r="G29" s="3">
        <v>278</v>
      </c>
      <c r="H29" s="3">
        <v>387</v>
      </c>
      <c r="I29" s="3">
        <v>241</v>
      </c>
      <c r="J29" s="3">
        <v>151</v>
      </c>
      <c r="K29" s="3">
        <v>221</v>
      </c>
      <c r="L29" s="3">
        <v>853</v>
      </c>
      <c r="M29" s="3">
        <v>621</v>
      </c>
      <c r="N29" s="3">
        <v>379</v>
      </c>
      <c r="O29" s="3">
        <v>341</v>
      </c>
      <c r="P29" s="3">
        <v>475</v>
      </c>
      <c r="Q29" s="3">
        <v>454</v>
      </c>
    </row>
    <row r="30" spans="1:17">
      <c r="A30" s="3" t="s">
        <v>58</v>
      </c>
      <c r="B30" s="3">
        <v>895</v>
      </c>
      <c r="C30" s="3">
        <v>507</v>
      </c>
      <c r="D30" s="3">
        <v>790</v>
      </c>
      <c r="E30" s="3">
        <v>465</v>
      </c>
      <c r="F30" s="3">
        <v>487</v>
      </c>
      <c r="G30" s="3">
        <v>647</v>
      </c>
      <c r="H30" s="3">
        <v>721</v>
      </c>
      <c r="I30" s="3">
        <v>744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1:17">
      <c r="A31" s="3" t="s">
        <v>59</v>
      </c>
      <c r="B31" s="3">
        <v>449</v>
      </c>
      <c r="C31" s="3">
        <v>347</v>
      </c>
      <c r="D31" s="3">
        <v>345</v>
      </c>
      <c r="E31" s="3">
        <v>180</v>
      </c>
      <c r="F31" s="3">
        <v>297</v>
      </c>
      <c r="G31" s="3">
        <v>451</v>
      </c>
      <c r="H31" s="3">
        <v>131</v>
      </c>
      <c r="I31" s="3">
        <v>107</v>
      </c>
      <c r="J31" s="3">
        <v>420</v>
      </c>
      <c r="K31" s="3">
        <v>530</v>
      </c>
      <c r="L31" s="3">
        <v>506</v>
      </c>
      <c r="M31" s="3">
        <v>591</v>
      </c>
      <c r="N31" s="3">
        <v>363</v>
      </c>
      <c r="O31" s="3">
        <v>143</v>
      </c>
      <c r="P31" s="3">
        <v>100</v>
      </c>
      <c r="Q31" s="3">
        <v>239</v>
      </c>
    </row>
    <row r="32" spans="1:17">
      <c r="A32" s="3" t="s">
        <v>60</v>
      </c>
      <c r="B32" s="3">
        <v>333</v>
      </c>
      <c r="C32" s="3">
        <v>231</v>
      </c>
      <c r="D32" s="3">
        <v>454</v>
      </c>
      <c r="E32" s="3">
        <v>272</v>
      </c>
      <c r="F32" s="3">
        <v>293</v>
      </c>
      <c r="G32" s="3">
        <v>253</v>
      </c>
      <c r="H32" s="3">
        <v>311</v>
      </c>
      <c r="I32" s="3">
        <v>195</v>
      </c>
      <c r="J32" s="3">
        <v>371</v>
      </c>
      <c r="K32" s="3">
        <v>243</v>
      </c>
      <c r="L32" s="3">
        <v>542</v>
      </c>
      <c r="M32" s="3">
        <v>246</v>
      </c>
      <c r="N32" s="3">
        <v>370</v>
      </c>
      <c r="O32" s="3">
        <v>253</v>
      </c>
      <c r="P32" s="3">
        <v>442</v>
      </c>
      <c r="Q32" s="3">
        <v>331</v>
      </c>
    </row>
    <row r="33" spans="1:17">
      <c r="A33" s="3" t="s">
        <v>61</v>
      </c>
      <c r="B33" s="3">
        <v>873</v>
      </c>
      <c r="C33" s="3">
        <v>472</v>
      </c>
      <c r="D33" s="3">
        <v>622</v>
      </c>
      <c r="E33" s="3">
        <v>455</v>
      </c>
      <c r="F33" s="3">
        <v>493</v>
      </c>
      <c r="G33" s="3">
        <v>605</v>
      </c>
      <c r="H33" s="3">
        <v>676</v>
      </c>
      <c r="I33" s="3">
        <v>605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1:17">
      <c r="A34" s="3" t="s">
        <v>62</v>
      </c>
      <c r="B34" s="3">
        <v>305</v>
      </c>
      <c r="C34" s="3">
        <v>142</v>
      </c>
      <c r="D34" s="3">
        <v>467</v>
      </c>
      <c r="E34" s="3">
        <v>395</v>
      </c>
      <c r="F34" s="3">
        <v>141</v>
      </c>
      <c r="G34" s="3">
        <v>139</v>
      </c>
      <c r="H34" s="3">
        <v>96</v>
      </c>
      <c r="I34" s="3">
        <v>60</v>
      </c>
      <c r="J34" s="3">
        <v>597</v>
      </c>
      <c r="K34" s="3">
        <v>1084</v>
      </c>
      <c r="L34" s="3">
        <v>72</v>
      </c>
      <c r="M34" s="3">
        <v>37</v>
      </c>
      <c r="N34" s="3">
        <v>109</v>
      </c>
      <c r="O34" s="3">
        <v>51</v>
      </c>
      <c r="P34" s="3">
        <v>530</v>
      </c>
      <c r="Q34" s="3">
        <v>471</v>
      </c>
    </row>
    <row r="35" spans="1:17">
      <c r="A35" s="3" t="s">
        <v>63</v>
      </c>
      <c r="B35" s="3">
        <v>831</v>
      </c>
      <c r="C35" s="3">
        <v>1089</v>
      </c>
      <c r="D35" s="3">
        <v>471</v>
      </c>
      <c r="E35" s="3">
        <v>571</v>
      </c>
      <c r="F35" s="3">
        <v>129</v>
      </c>
      <c r="G35" s="3">
        <v>158</v>
      </c>
      <c r="H35" s="3">
        <v>66</v>
      </c>
      <c r="I35" s="3">
        <v>81</v>
      </c>
      <c r="J35" s="3">
        <v>0</v>
      </c>
      <c r="K35" s="3">
        <v>0</v>
      </c>
      <c r="L35" s="3">
        <v>379</v>
      </c>
      <c r="M35" s="3">
        <v>458</v>
      </c>
      <c r="N35" s="3">
        <v>175</v>
      </c>
      <c r="O35" s="3">
        <v>152</v>
      </c>
      <c r="P35" s="3">
        <v>0</v>
      </c>
      <c r="Q35" s="3">
        <v>0</v>
      </c>
    </row>
    <row r="36" spans="1:17">
      <c r="A36" s="3" t="s">
        <v>64</v>
      </c>
      <c r="B36" s="3">
        <v>102</v>
      </c>
      <c r="C36" s="3">
        <v>43</v>
      </c>
      <c r="D36" s="3">
        <v>46</v>
      </c>
      <c r="E36" s="3">
        <v>56</v>
      </c>
      <c r="F36" s="3">
        <v>81</v>
      </c>
      <c r="G36" s="3">
        <v>102</v>
      </c>
      <c r="H36" s="3">
        <v>104</v>
      </c>
      <c r="I36" s="3">
        <v>86</v>
      </c>
      <c r="J36" s="3">
        <v>140</v>
      </c>
      <c r="K36" s="3">
        <v>127</v>
      </c>
      <c r="L36" s="3">
        <v>142</v>
      </c>
      <c r="M36" s="3">
        <v>118</v>
      </c>
      <c r="N36" s="3">
        <v>1316</v>
      </c>
      <c r="O36" s="3">
        <v>748</v>
      </c>
      <c r="P36" s="3">
        <v>927</v>
      </c>
      <c r="Q36" s="3">
        <v>254</v>
      </c>
    </row>
    <row r="37" spans="1:17">
      <c r="A37" s="3" t="s">
        <v>65</v>
      </c>
      <c r="B37" s="3">
        <v>152</v>
      </c>
      <c r="C37" s="3">
        <v>107</v>
      </c>
      <c r="D37" s="3">
        <v>129</v>
      </c>
      <c r="E37" s="3">
        <v>124</v>
      </c>
      <c r="F37" s="3">
        <v>215</v>
      </c>
      <c r="G37" s="3">
        <v>264</v>
      </c>
      <c r="H37" s="3">
        <v>99</v>
      </c>
      <c r="I37" s="3">
        <v>62</v>
      </c>
      <c r="J37" s="3">
        <v>192</v>
      </c>
      <c r="K37" s="3">
        <v>154</v>
      </c>
      <c r="L37" s="3">
        <v>93</v>
      </c>
      <c r="M37" s="3">
        <v>156</v>
      </c>
      <c r="N37" s="3">
        <v>421</v>
      </c>
      <c r="O37" s="3">
        <v>241</v>
      </c>
      <c r="P37" s="3">
        <v>582</v>
      </c>
      <c r="Q37" s="3">
        <v>1373</v>
      </c>
    </row>
    <row r="38" spans="1:17">
      <c r="A38" s="3" t="s">
        <v>66</v>
      </c>
      <c r="B38" s="3">
        <v>102</v>
      </c>
      <c r="C38" s="3">
        <v>583</v>
      </c>
      <c r="D38" s="3">
        <v>44</v>
      </c>
      <c r="E38" s="3">
        <v>667</v>
      </c>
      <c r="F38" s="3">
        <v>31</v>
      </c>
      <c r="G38" s="3">
        <v>348</v>
      </c>
      <c r="H38" s="3">
        <v>127</v>
      </c>
      <c r="I38" s="3">
        <v>380</v>
      </c>
      <c r="J38" s="3">
        <v>76</v>
      </c>
      <c r="K38" s="3">
        <v>603</v>
      </c>
      <c r="L38" s="3">
        <v>56</v>
      </c>
      <c r="M38" s="3">
        <v>419</v>
      </c>
      <c r="N38" s="3">
        <v>136</v>
      </c>
      <c r="O38" s="3">
        <v>466</v>
      </c>
      <c r="P38" s="3">
        <v>87</v>
      </c>
      <c r="Q38" s="3">
        <v>132</v>
      </c>
    </row>
    <row r="39" spans="1:17">
      <c r="A39" s="3" t="s">
        <v>67</v>
      </c>
      <c r="B39" s="3">
        <v>322</v>
      </c>
      <c r="C39" s="3">
        <v>217</v>
      </c>
      <c r="D39" s="3">
        <v>350</v>
      </c>
      <c r="E39" s="3">
        <v>220</v>
      </c>
      <c r="F39" s="3">
        <v>343</v>
      </c>
      <c r="G39" s="3">
        <v>298</v>
      </c>
      <c r="H39" s="3">
        <v>282</v>
      </c>
      <c r="I39" s="3">
        <v>241</v>
      </c>
      <c r="J39" s="3">
        <v>128</v>
      </c>
      <c r="K39" s="3">
        <v>167</v>
      </c>
      <c r="L39" s="3">
        <v>418</v>
      </c>
      <c r="M39" s="3">
        <v>236</v>
      </c>
      <c r="N39" s="3">
        <v>370</v>
      </c>
      <c r="O39" s="3">
        <v>179</v>
      </c>
      <c r="P39" s="3">
        <v>196</v>
      </c>
      <c r="Q39" s="3">
        <v>143</v>
      </c>
    </row>
    <row r="40" spans="1:17">
      <c r="A40" s="3" t="s">
        <v>68</v>
      </c>
      <c r="B40" s="3">
        <v>105</v>
      </c>
      <c r="C40" s="3">
        <v>58</v>
      </c>
      <c r="D40" s="3">
        <v>220</v>
      </c>
      <c r="E40" s="3">
        <v>313</v>
      </c>
      <c r="F40" s="3">
        <v>326</v>
      </c>
      <c r="G40" s="3">
        <v>316</v>
      </c>
      <c r="H40" s="3">
        <v>185</v>
      </c>
      <c r="I40" s="3">
        <v>138</v>
      </c>
      <c r="J40" s="3">
        <v>75</v>
      </c>
      <c r="K40" s="3">
        <v>144</v>
      </c>
      <c r="L40" s="3">
        <v>906</v>
      </c>
      <c r="M40" s="3">
        <v>677</v>
      </c>
      <c r="N40" s="3">
        <v>258</v>
      </c>
      <c r="O40" s="3">
        <v>146</v>
      </c>
      <c r="P40" s="3">
        <v>101</v>
      </c>
      <c r="Q40" s="3">
        <v>93</v>
      </c>
    </row>
    <row r="41" spans="1:17">
      <c r="A41" s="3" t="s">
        <v>69</v>
      </c>
      <c r="B41" s="3">
        <v>198</v>
      </c>
      <c r="C41" s="3">
        <v>117</v>
      </c>
      <c r="D41" s="3">
        <v>158</v>
      </c>
      <c r="E41" s="3">
        <v>144</v>
      </c>
      <c r="F41" s="3">
        <v>212</v>
      </c>
      <c r="G41" s="3">
        <v>240</v>
      </c>
      <c r="H41" s="3">
        <v>110</v>
      </c>
      <c r="I41" s="3">
        <v>125</v>
      </c>
      <c r="J41" s="3">
        <v>177</v>
      </c>
      <c r="K41" s="3">
        <v>430</v>
      </c>
      <c r="L41" s="3">
        <v>322</v>
      </c>
      <c r="M41" s="3">
        <v>295</v>
      </c>
      <c r="N41" s="3">
        <v>385</v>
      </c>
      <c r="O41" s="3">
        <v>176</v>
      </c>
      <c r="P41" s="3">
        <v>325</v>
      </c>
      <c r="Q41" s="3">
        <v>434</v>
      </c>
    </row>
    <row r="42" spans="1:17">
      <c r="A42" s="3" t="s">
        <v>70</v>
      </c>
      <c r="B42" s="3">
        <v>176</v>
      </c>
      <c r="C42" s="3">
        <v>113</v>
      </c>
      <c r="D42" s="3">
        <v>601</v>
      </c>
      <c r="E42" s="3">
        <v>403</v>
      </c>
      <c r="F42" s="3">
        <v>86</v>
      </c>
      <c r="G42" s="3">
        <v>122</v>
      </c>
      <c r="H42" s="3">
        <v>106</v>
      </c>
      <c r="I42" s="3">
        <v>58</v>
      </c>
      <c r="J42" s="3">
        <v>412</v>
      </c>
      <c r="K42" s="3">
        <v>530</v>
      </c>
      <c r="L42" s="3">
        <v>77</v>
      </c>
      <c r="M42" s="3">
        <v>86</v>
      </c>
      <c r="N42" s="3">
        <v>33</v>
      </c>
      <c r="O42" s="3">
        <v>28</v>
      </c>
      <c r="P42" s="3">
        <v>513</v>
      </c>
      <c r="Q42" s="3">
        <v>409</v>
      </c>
    </row>
    <row r="43" spans="1:17">
      <c r="A43" s="3" t="s">
        <v>71</v>
      </c>
      <c r="B43" s="3">
        <v>283</v>
      </c>
      <c r="C43" s="3">
        <v>164</v>
      </c>
      <c r="D43" s="3">
        <v>266</v>
      </c>
      <c r="E43" s="3">
        <v>266</v>
      </c>
      <c r="F43" s="3">
        <v>174</v>
      </c>
      <c r="G43" s="3">
        <v>232</v>
      </c>
      <c r="H43" s="3">
        <v>213</v>
      </c>
      <c r="I43" s="3">
        <v>131</v>
      </c>
      <c r="J43" s="3">
        <v>69</v>
      </c>
      <c r="K43" s="3">
        <v>96</v>
      </c>
      <c r="L43" s="3">
        <v>635</v>
      </c>
      <c r="M43" s="3">
        <v>457</v>
      </c>
      <c r="N43" s="3">
        <v>227</v>
      </c>
      <c r="O43" s="3">
        <v>93</v>
      </c>
      <c r="P43" s="3">
        <v>192</v>
      </c>
      <c r="Q43" s="3">
        <v>203</v>
      </c>
    </row>
    <row r="44" spans="1:17">
      <c r="A44" s="3" t="s">
        <v>72</v>
      </c>
      <c r="B44" s="3">
        <v>162</v>
      </c>
      <c r="C44" s="3">
        <v>112</v>
      </c>
      <c r="D44" s="3">
        <v>113</v>
      </c>
      <c r="E44" s="3">
        <v>109</v>
      </c>
      <c r="F44" s="3">
        <v>394</v>
      </c>
      <c r="G44" s="3">
        <v>617</v>
      </c>
      <c r="H44" s="3">
        <v>191</v>
      </c>
      <c r="I44" s="3">
        <v>278</v>
      </c>
      <c r="J44" s="3">
        <v>258</v>
      </c>
      <c r="K44" s="3">
        <v>465</v>
      </c>
      <c r="L44" s="3">
        <v>70</v>
      </c>
      <c r="M44" s="3">
        <v>223</v>
      </c>
      <c r="N44" s="3">
        <v>266</v>
      </c>
      <c r="O44" s="3">
        <v>157</v>
      </c>
      <c r="P44" s="3">
        <v>54</v>
      </c>
      <c r="Q44" s="3">
        <v>156</v>
      </c>
    </row>
    <row r="45" spans="1:17">
      <c r="A45" s="3" t="s">
        <v>73</v>
      </c>
      <c r="B45" s="3">
        <v>108</v>
      </c>
      <c r="C45" s="3">
        <v>103</v>
      </c>
      <c r="D45" s="3">
        <v>544</v>
      </c>
      <c r="E45" s="3">
        <v>146</v>
      </c>
      <c r="F45" s="3">
        <v>220</v>
      </c>
      <c r="G45" s="3">
        <v>126</v>
      </c>
      <c r="H45" s="3">
        <v>429</v>
      </c>
      <c r="I45" s="3">
        <v>329</v>
      </c>
      <c r="J45" s="3">
        <v>181</v>
      </c>
      <c r="K45" s="3">
        <v>73</v>
      </c>
      <c r="L45" s="3">
        <v>52</v>
      </c>
      <c r="M45" s="3">
        <v>76</v>
      </c>
      <c r="N45" s="3">
        <v>524</v>
      </c>
      <c r="O45" s="3">
        <v>382</v>
      </c>
      <c r="P45" s="3">
        <v>220</v>
      </c>
      <c r="Q45" s="3">
        <v>43</v>
      </c>
    </row>
    <row r="46" spans="1:17">
      <c r="A46" s="3" t="s">
        <v>74</v>
      </c>
      <c r="B46" s="3">
        <v>0</v>
      </c>
      <c r="C46" s="3">
        <v>0</v>
      </c>
      <c r="D46" s="3">
        <v>0</v>
      </c>
      <c r="E46" s="3">
        <v>0</v>
      </c>
      <c r="F46" s="3">
        <v>853</v>
      </c>
      <c r="G46" s="3">
        <v>924</v>
      </c>
      <c r="H46" s="3">
        <v>129</v>
      </c>
      <c r="I46" s="3">
        <v>78</v>
      </c>
      <c r="J46" s="3">
        <v>0</v>
      </c>
      <c r="K46" s="3">
        <v>0</v>
      </c>
      <c r="L46" s="3">
        <v>661</v>
      </c>
      <c r="M46" s="3">
        <v>475</v>
      </c>
      <c r="N46" s="3">
        <v>21</v>
      </c>
      <c r="O46" s="3">
        <v>21</v>
      </c>
      <c r="P46" s="3">
        <v>214</v>
      </c>
      <c r="Q46" s="3">
        <v>156</v>
      </c>
    </row>
    <row r="47" spans="1:17">
      <c r="A47" s="3" t="s">
        <v>75</v>
      </c>
      <c r="B47" s="3">
        <v>179</v>
      </c>
      <c r="C47" s="3">
        <v>97</v>
      </c>
      <c r="D47" s="3">
        <v>55</v>
      </c>
      <c r="E47" s="3">
        <v>40</v>
      </c>
      <c r="F47" s="3">
        <v>279</v>
      </c>
      <c r="G47" s="3">
        <v>205</v>
      </c>
      <c r="H47" s="3">
        <v>97</v>
      </c>
      <c r="I47" s="3">
        <v>70</v>
      </c>
      <c r="J47" s="3">
        <v>10</v>
      </c>
      <c r="K47" s="3">
        <v>12</v>
      </c>
      <c r="L47" s="3">
        <v>627</v>
      </c>
      <c r="M47" s="3">
        <v>501</v>
      </c>
      <c r="N47" s="3">
        <v>644</v>
      </c>
      <c r="O47" s="3">
        <v>411</v>
      </c>
      <c r="P47" s="3">
        <v>22</v>
      </c>
      <c r="Q47" s="3">
        <v>17</v>
      </c>
    </row>
    <row r="48" spans="1:17">
      <c r="A48" s="3" t="s">
        <v>76</v>
      </c>
      <c r="B48" s="3">
        <v>170</v>
      </c>
      <c r="C48" s="3">
        <v>77</v>
      </c>
      <c r="D48" s="3">
        <v>144</v>
      </c>
      <c r="E48" s="3">
        <v>114</v>
      </c>
      <c r="F48" s="3">
        <v>261</v>
      </c>
      <c r="G48" s="3">
        <v>311</v>
      </c>
      <c r="H48" s="3">
        <v>199</v>
      </c>
      <c r="I48" s="3">
        <v>186</v>
      </c>
      <c r="J48" s="3">
        <v>265</v>
      </c>
      <c r="K48" s="3">
        <v>261</v>
      </c>
      <c r="L48" s="3">
        <v>191</v>
      </c>
      <c r="M48" s="3">
        <v>255</v>
      </c>
      <c r="N48" s="3">
        <v>195</v>
      </c>
      <c r="O48" s="3">
        <v>63</v>
      </c>
      <c r="P48" s="3">
        <v>204</v>
      </c>
      <c r="Q48" s="3">
        <v>335</v>
      </c>
    </row>
    <row r="49" spans="1:17">
      <c r="A49" s="3" t="s">
        <v>77</v>
      </c>
      <c r="B49" s="3">
        <v>340</v>
      </c>
      <c r="C49" s="3">
        <v>296</v>
      </c>
      <c r="D49" s="3">
        <v>177</v>
      </c>
      <c r="E49" s="3">
        <v>125</v>
      </c>
      <c r="F49" s="3">
        <v>196</v>
      </c>
      <c r="G49" s="3">
        <v>324</v>
      </c>
      <c r="H49" s="3">
        <v>320</v>
      </c>
      <c r="I49" s="3">
        <v>337</v>
      </c>
      <c r="J49" s="3">
        <v>46</v>
      </c>
      <c r="K49" s="3">
        <v>130</v>
      </c>
      <c r="L49" s="3">
        <v>190</v>
      </c>
      <c r="M49" s="3">
        <v>205</v>
      </c>
      <c r="N49" s="3">
        <v>83</v>
      </c>
      <c r="O49" s="3">
        <v>0</v>
      </c>
      <c r="P49" s="3">
        <v>51</v>
      </c>
      <c r="Q49" s="3">
        <v>180</v>
      </c>
    </row>
    <row r="50" spans="1:17">
      <c r="A50" s="3" t="s">
        <v>78</v>
      </c>
      <c r="B50" s="3">
        <v>176</v>
      </c>
      <c r="C50" s="3">
        <v>125</v>
      </c>
      <c r="D50" s="3">
        <v>380</v>
      </c>
      <c r="E50" s="3">
        <v>238</v>
      </c>
      <c r="F50" s="3">
        <v>100</v>
      </c>
      <c r="G50" s="3">
        <v>88</v>
      </c>
      <c r="H50" s="3">
        <v>32</v>
      </c>
      <c r="I50" s="3">
        <v>43</v>
      </c>
      <c r="J50" s="3">
        <v>147</v>
      </c>
      <c r="K50" s="3">
        <v>279</v>
      </c>
      <c r="L50" s="3">
        <v>103</v>
      </c>
      <c r="M50" s="3">
        <v>53</v>
      </c>
      <c r="N50" s="3">
        <v>138</v>
      </c>
      <c r="O50" s="3">
        <v>65</v>
      </c>
      <c r="P50" s="3">
        <v>551</v>
      </c>
      <c r="Q50" s="3">
        <v>447</v>
      </c>
    </row>
    <row r="51" spans="1:17">
      <c r="A51" s="3" t="s">
        <v>79</v>
      </c>
      <c r="B51" s="3">
        <v>23</v>
      </c>
      <c r="C51" s="3">
        <v>10</v>
      </c>
      <c r="D51" s="3">
        <v>62</v>
      </c>
      <c r="E51" s="3">
        <v>56</v>
      </c>
      <c r="F51" s="3">
        <v>83</v>
      </c>
      <c r="G51" s="3">
        <v>30</v>
      </c>
      <c r="H51" s="3">
        <v>62</v>
      </c>
      <c r="I51" s="3">
        <v>39</v>
      </c>
      <c r="J51" s="3">
        <v>0</v>
      </c>
      <c r="K51" s="3">
        <v>16</v>
      </c>
      <c r="L51" s="3">
        <v>704</v>
      </c>
      <c r="M51" s="3">
        <v>335</v>
      </c>
      <c r="N51" s="3">
        <v>605</v>
      </c>
      <c r="O51" s="3">
        <v>386</v>
      </c>
      <c r="P51" s="3">
        <v>310</v>
      </c>
      <c r="Q51" s="3">
        <v>107</v>
      </c>
    </row>
    <row r="52" spans="1:17">
      <c r="A52" s="3" t="s">
        <v>80</v>
      </c>
      <c r="B52" s="3">
        <v>332</v>
      </c>
      <c r="C52" s="3">
        <v>258</v>
      </c>
      <c r="D52" s="3">
        <v>152</v>
      </c>
      <c r="E52" s="3">
        <v>75</v>
      </c>
      <c r="F52" s="3">
        <v>337</v>
      </c>
      <c r="G52" s="3">
        <v>382</v>
      </c>
      <c r="H52" s="3">
        <v>113</v>
      </c>
      <c r="I52" s="3">
        <v>91</v>
      </c>
      <c r="J52" s="3">
        <v>0</v>
      </c>
      <c r="K52" s="3">
        <v>0</v>
      </c>
      <c r="L52" s="3">
        <v>46</v>
      </c>
      <c r="M52" s="3">
        <v>196</v>
      </c>
      <c r="N52" s="3">
        <v>378</v>
      </c>
      <c r="O52" s="3">
        <v>172</v>
      </c>
      <c r="P52" s="3">
        <v>116</v>
      </c>
      <c r="Q52" s="3">
        <v>149</v>
      </c>
    </row>
    <row r="53" spans="1:17">
      <c r="A53" s="3" t="s">
        <v>81</v>
      </c>
      <c r="B53" s="3">
        <v>230</v>
      </c>
      <c r="C53" s="3">
        <v>167</v>
      </c>
      <c r="D53" s="3">
        <v>142</v>
      </c>
      <c r="E53" s="3">
        <v>152</v>
      </c>
      <c r="F53" s="3">
        <v>147</v>
      </c>
      <c r="G53" s="3">
        <v>160</v>
      </c>
      <c r="H53" s="3">
        <v>168</v>
      </c>
      <c r="I53" s="3">
        <v>92</v>
      </c>
      <c r="J53" s="3">
        <v>117</v>
      </c>
      <c r="K53" s="3">
        <v>161</v>
      </c>
      <c r="L53" s="3">
        <v>221</v>
      </c>
      <c r="M53" s="3">
        <v>182</v>
      </c>
      <c r="N53" s="3">
        <v>229</v>
      </c>
      <c r="O53" s="3">
        <v>218</v>
      </c>
      <c r="P53" s="3">
        <v>187</v>
      </c>
      <c r="Q53" s="3">
        <v>203</v>
      </c>
    </row>
    <row r="54" spans="1:17">
      <c r="A54" s="3" t="s">
        <v>82</v>
      </c>
      <c r="B54" s="3">
        <v>546</v>
      </c>
      <c r="C54" s="3">
        <v>296</v>
      </c>
      <c r="D54" s="3">
        <v>145</v>
      </c>
      <c r="E54" s="3">
        <v>131</v>
      </c>
      <c r="F54" s="3">
        <v>148</v>
      </c>
      <c r="G54" s="3">
        <v>159</v>
      </c>
      <c r="H54" s="3">
        <v>241</v>
      </c>
      <c r="I54" s="3">
        <v>269</v>
      </c>
      <c r="J54" s="3">
        <v>95</v>
      </c>
      <c r="K54" s="3">
        <v>155</v>
      </c>
      <c r="L54" s="3">
        <v>59</v>
      </c>
      <c r="M54" s="3">
        <v>85</v>
      </c>
      <c r="N54" s="3">
        <v>106</v>
      </c>
      <c r="O54" s="3">
        <v>0</v>
      </c>
      <c r="P54" s="3">
        <v>83</v>
      </c>
      <c r="Q54" s="3">
        <v>53</v>
      </c>
    </row>
    <row r="55" spans="1:17">
      <c r="A55" s="3" t="s">
        <v>83</v>
      </c>
      <c r="B55" s="3">
        <v>234</v>
      </c>
      <c r="C55" s="3">
        <v>139</v>
      </c>
      <c r="D55" s="3">
        <v>153</v>
      </c>
      <c r="E55" s="3">
        <v>160</v>
      </c>
      <c r="F55" s="3">
        <v>108</v>
      </c>
      <c r="G55" s="3">
        <v>148</v>
      </c>
      <c r="H55" s="3">
        <v>182</v>
      </c>
      <c r="I55" s="3">
        <v>103</v>
      </c>
      <c r="J55" s="3">
        <v>125</v>
      </c>
      <c r="K55" s="3">
        <v>124</v>
      </c>
      <c r="L55" s="3">
        <v>164</v>
      </c>
      <c r="M55" s="3">
        <v>172</v>
      </c>
      <c r="N55" s="3">
        <v>207</v>
      </c>
      <c r="O55" s="3">
        <v>164</v>
      </c>
      <c r="P55" s="3">
        <v>173</v>
      </c>
      <c r="Q55" s="3">
        <v>155</v>
      </c>
    </row>
    <row r="56" spans="1:17">
      <c r="A56" s="3" t="s">
        <v>84</v>
      </c>
      <c r="B56" s="3">
        <v>180</v>
      </c>
      <c r="C56" s="3">
        <v>154</v>
      </c>
      <c r="D56" s="3">
        <v>148</v>
      </c>
      <c r="E56" s="3">
        <v>153</v>
      </c>
      <c r="F56" s="3">
        <v>112</v>
      </c>
      <c r="G56" s="3">
        <v>160</v>
      </c>
      <c r="H56" s="3">
        <v>181</v>
      </c>
      <c r="I56" s="3">
        <v>94</v>
      </c>
      <c r="J56" s="3">
        <v>104</v>
      </c>
      <c r="K56" s="3">
        <v>119</v>
      </c>
      <c r="L56" s="3">
        <v>167</v>
      </c>
      <c r="M56" s="3">
        <v>175</v>
      </c>
      <c r="N56" s="3">
        <v>220</v>
      </c>
      <c r="O56" s="3">
        <v>214</v>
      </c>
      <c r="P56" s="3">
        <v>173</v>
      </c>
      <c r="Q56" s="3">
        <v>140</v>
      </c>
    </row>
    <row r="57" spans="1:17">
      <c r="A57" s="3" t="s">
        <v>85</v>
      </c>
      <c r="B57" s="3">
        <v>209</v>
      </c>
      <c r="C57" s="3">
        <v>184</v>
      </c>
      <c r="D57" s="3">
        <v>136</v>
      </c>
      <c r="E57" s="3">
        <v>79</v>
      </c>
      <c r="F57" s="3">
        <v>118</v>
      </c>
      <c r="G57" s="3">
        <v>238</v>
      </c>
      <c r="H57" s="3">
        <v>304</v>
      </c>
      <c r="I57" s="3">
        <v>281</v>
      </c>
      <c r="J57" s="3">
        <v>67</v>
      </c>
      <c r="K57" s="3">
        <v>113</v>
      </c>
      <c r="L57" s="3">
        <v>143</v>
      </c>
      <c r="M57" s="3">
        <v>171</v>
      </c>
      <c r="N57" s="3">
        <v>116</v>
      </c>
      <c r="O57" s="3">
        <v>72</v>
      </c>
      <c r="P57" s="3">
        <v>30</v>
      </c>
      <c r="Q57" s="3">
        <v>139</v>
      </c>
    </row>
    <row r="58" spans="1:17">
      <c r="A58" s="3" t="s">
        <v>86</v>
      </c>
      <c r="B58" s="3">
        <v>239</v>
      </c>
      <c r="C58" s="3">
        <v>143</v>
      </c>
      <c r="D58" s="3">
        <v>214</v>
      </c>
      <c r="E58" s="3">
        <v>160</v>
      </c>
      <c r="F58" s="3">
        <v>194</v>
      </c>
      <c r="G58" s="3">
        <v>160</v>
      </c>
      <c r="H58" s="3">
        <v>137</v>
      </c>
      <c r="I58" s="3">
        <v>69</v>
      </c>
      <c r="J58" s="3">
        <v>68</v>
      </c>
      <c r="K58" s="3">
        <v>136</v>
      </c>
      <c r="L58" s="3">
        <v>202</v>
      </c>
      <c r="M58" s="3">
        <v>167</v>
      </c>
      <c r="N58" s="3">
        <v>138</v>
      </c>
      <c r="O58" s="3">
        <v>147</v>
      </c>
      <c r="P58" s="3">
        <v>99</v>
      </c>
      <c r="Q58" s="3">
        <v>103</v>
      </c>
    </row>
    <row r="59" spans="1:17">
      <c r="A59" s="3" t="s">
        <v>87</v>
      </c>
      <c r="B59" s="3">
        <v>185</v>
      </c>
      <c r="C59" s="3">
        <v>146</v>
      </c>
      <c r="D59" s="3">
        <v>91</v>
      </c>
      <c r="E59" s="3">
        <v>45</v>
      </c>
      <c r="F59" s="3">
        <v>133</v>
      </c>
      <c r="G59" s="3">
        <v>146</v>
      </c>
      <c r="H59" s="3">
        <v>175</v>
      </c>
      <c r="I59" s="3">
        <v>160</v>
      </c>
      <c r="J59" s="3">
        <v>80</v>
      </c>
      <c r="K59" s="3">
        <v>181</v>
      </c>
      <c r="L59" s="3">
        <v>132</v>
      </c>
      <c r="M59" s="3">
        <v>135</v>
      </c>
      <c r="N59" s="3">
        <v>203</v>
      </c>
      <c r="O59" s="3">
        <v>108</v>
      </c>
      <c r="P59" s="3">
        <v>162</v>
      </c>
      <c r="Q59" s="3">
        <v>287</v>
      </c>
    </row>
    <row r="60" spans="1:17">
      <c r="A60" s="3" t="s">
        <v>88</v>
      </c>
      <c r="B60" s="3">
        <v>205</v>
      </c>
      <c r="C60" s="3">
        <v>171</v>
      </c>
      <c r="D60" s="3">
        <v>215</v>
      </c>
      <c r="E60" s="3">
        <v>113</v>
      </c>
      <c r="F60" s="3">
        <v>122</v>
      </c>
      <c r="G60" s="3">
        <v>173</v>
      </c>
      <c r="H60" s="3">
        <v>114</v>
      </c>
      <c r="I60" s="3">
        <v>100</v>
      </c>
      <c r="J60" s="3">
        <v>155</v>
      </c>
      <c r="K60" s="3">
        <v>196</v>
      </c>
      <c r="L60" s="3">
        <v>135</v>
      </c>
      <c r="M60" s="3">
        <v>122</v>
      </c>
      <c r="N60" s="3">
        <v>124</v>
      </c>
      <c r="O60" s="3">
        <v>60</v>
      </c>
      <c r="P60" s="3">
        <v>72</v>
      </c>
      <c r="Q60" s="3">
        <v>102</v>
      </c>
    </row>
    <row r="61" spans="1:17">
      <c r="A61" s="3" t="s">
        <v>89</v>
      </c>
      <c r="B61" s="3">
        <v>394</v>
      </c>
      <c r="C61" s="3">
        <v>287</v>
      </c>
      <c r="D61" s="3">
        <v>0</v>
      </c>
      <c r="E61" s="3">
        <v>0</v>
      </c>
      <c r="F61" s="3">
        <v>373</v>
      </c>
      <c r="G61" s="3">
        <v>494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32</v>
      </c>
      <c r="N61" s="3">
        <v>349</v>
      </c>
      <c r="O61" s="3">
        <v>239</v>
      </c>
      <c r="P61" s="3">
        <v>0</v>
      </c>
      <c r="Q61" s="3">
        <v>0</v>
      </c>
    </row>
    <row r="62" spans="1:17">
      <c r="A62" s="3" t="s">
        <v>90</v>
      </c>
      <c r="B62" s="3">
        <v>56</v>
      </c>
      <c r="C62" s="3">
        <v>49</v>
      </c>
      <c r="D62" s="3">
        <v>66</v>
      </c>
      <c r="E62" s="3">
        <v>66</v>
      </c>
      <c r="F62" s="3">
        <v>106</v>
      </c>
      <c r="G62" s="3">
        <v>145</v>
      </c>
      <c r="H62" s="3">
        <v>76</v>
      </c>
      <c r="I62" s="3">
        <v>100</v>
      </c>
      <c r="J62" s="3">
        <v>174</v>
      </c>
      <c r="K62" s="3">
        <v>228</v>
      </c>
      <c r="L62" s="3">
        <v>162</v>
      </c>
      <c r="M62" s="3">
        <v>159</v>
      </c>
      <c r="N62" s="3">
        <v>213</v>
      </c>
      <c r="O62" s="3">
        <v>104</v>
      </c>
      <c r="P62" s="3">
        <v>175</v>
      </c>
      <c r="Q62" s="3">
        <v>263</v>
      </c>
    </row>
    <row r="63" spans="1:17">
      <c r="A63" s="3" t="s">
        <v>91</v>
      </c>
      <c r="B63" s="3">
        <v>241</v>
      </c>
      <c r="C63" s="3">
        <v>156</v>
      </c>
      <c r="D63" s="3">
        <v>216</v>
      </c>
      <c r="E63" s="3">
        <v>166</v>
      </c>
      <c r="F63" s="3">
        <v>213</v>
      </c>
      <c r="G63" s="3">
        <v>290</v>
      </c>
      <c r="H63" s="3">
        <v>99</v>
      </c>
      <c r="I63" s="3">
        <v>196</v>
      </c>
      <c r="J63" s="3">
        <v>0</v>
      </c>
      <c r="K63" s="3">
        <v>0</v>
      </c>
      <c r="L63" s="3">
        <v>127</v>
      </c>
      <c r="M63" s="3">
        <v>175</v>
      </c>
      <c r="N63" s="3">
        <v>36</v>
      </c>
      <c r="O63" s="3">
        <v>36</v>
      </c>
      <c r="P63" s="3">
        <v>68</v>
      </c>
      <c r="Q63" s="3">
        <v>119</v>
      </c>
    </row>
    <row r="64" spans="1:17">
      <c r="A64" s="3" t="s">
        <v>92</v>
      </c>
      <c r="B64" s="3">
        <v>74</v>
      </c>
      <c r="C64" s="3">
        <v>50</v>
      </c>
      <c r="D64" s="3">
        <v>274</v>
      </c>
      <c r="E64" s="3">
        <v>228</v>
      </c>
      <c r="F64" s="3">
        <v>126</v>
      </c>
      <c r="G64" s="3">
        <v>124</v>
      </c>
      <c r="H64" s="3">
        <v>128</v>
      </c>
      <c r="I64" s="3">
        <v>100</v>
      </c>
      <c r="J64" s="3">
        <v>67</v>
      </c>
      <c r="K64" s="3">
        <v>110</v>
      </c>
      <c r="L64" s="3">
        <v>175</v>
      </c>
      <c r="M64" s="3">
        <v>147</v>
      </c>
      <c r="N64" s="3">
        <v>159</v>
      </c>
      <c r="O64" s="3">
        <v>120</v>
      </c>
      <c r="P64" s="3">
        <v>128</v>
      </c>
      <c r="Q64" s="3">
        <v>113</v>
      </c>
    </row>
    <row r="65" spans="1:17">
      <c r="A65" s="3" t="s">
        <v>93</v>
      </c>
      <c r="B65" s="3">
        <v>196</v>
      </c>
      <c r="C65" s="3">
        <v>192</v>
      </c>
      <c r="D65" s="3">
        <v>150</v>
      </c>
      <c r="E65" s="3">
        <v>126</v>
      </c>
      <c r="F65" s="3">
        <v>184</v>
      </c>
      <c r="G65" s="3">
        <v>323</v>
      </c>
      <c r="H65" s="3">
        <v>53</v>
      </c>
      <c r="I65" s="3">
        <v>67</v>
      </c>
      <c r="J65" s="3">
        <v>77</v>
      </c>
      <c r="K65" s="3">
        <v>98</v>
      </c>
      <c r="L65" s="3">
        <v>120</v>
      </c>
      <c r="M65" s="3">
        <v>98</v>
      </c>
      <c r="N65" s="3">
        <v>140</v>
      </c>
      <c r="O65" s="3">
        <v>89</v>
      </c>
      <c r="P65" s="3">
        <v>50</v>
      </c>
      <c r="Q65" s="3">
        <v>120</v>
      </c>
    </row>
    <row r="66" spans="1:17">
      <c r="A66" s="3" t="s">
        <v>94</v>
      </c>
      <c r="B66" s="3">
        <v>118</v>
      </c>
      <c r="C66" s="3">
        <v>82</v>
      </c>
      <c r="D66" s="3">
        <v>360</v>
      </c>
      <c r="E66" s="3">
        <v>120</v>
      </c>
      <c r="F66" s="3">
        <v>109</v>
      </c>
      <c r="G66" s="3">
        <v>98</v>
      </c>
      <c r="H66" s="3">
        <v>135</v>
      </c>
      <c r="I66" s="3">
        <v>105</v>
      </c>
      <c r="J66" s="3">
        <v>66</v>
      </c>
      <c r="K66" s="3">
        <v>37</v>
      </c>
      <c r="L66" s="3">
        <v>165</v>
      </c>
      <c r="M66" s="3">
        <v>69</v>
      </c>
      <c r="N66" s="3">
        <v>154</v>
      </c>
      <c r="O66" s="3">
        <v>117</v>
      </c>
      <c r="P66" s="3">
        <v>205</v>
      </c>
      <c r="Q66" s="3">
        <v>85</v>
      </c>
    </row>
    <row r="67" spans="1:17">
      <c r="A67" s="3" t="s">
        <v>95</v>
      </c>
      <c r="B67" s="3">
        <v>102</v>
      </c>
      <c r="C67" s="3">
        <v>80</v>
      </c>
      <c r="D67" s="3">
        <v>109</v>
      </c>
      <c r="E67" s="3">
        <v>72</v>
      </c>
      <c r="F67" s="3">
        <v>85</v>
      </c>
      <c r="G67" s="3">
        <v>97</v>
      </c>
      <c r="H67" s="3">
        <v>124</v>
      </c>
      <c r="I67" s="3">
        <v>46</v>
      </c>
      <c r="J67" s="3">
        <v>47</v>
      </c>
      <c r="K67" s="3">
        <v>124</v>
      </c>
      <c r="L67" s="3">
        <v>42</v>
      </c>
      <c r="M67" s="3">
        <v>95</v>
      </c>
      <c r="N67" s="3">
        <v>273</v>
      </c>
      <c r="O67" s="3">
        <v>116</v>
      </c>
      <c r="P67" s="3">
        <v>318</v>
      </c>
      <c r="Q67" s="3">
        <v>272</v>
      </c>
    </row>
    <row r="68" spans="1:17">
      <c r="A68" s="3" t="s">
        <v>96</v>
      </c>
      <c r="B68" s="3">
        <v>119</v>
      </c>
      <c r="C68" s="3">
        <v>160</v>
      </c>
      <c r="D68" s="3">
        <v>203</v>
      </c>
      <c r="E68" s="3">
        <v>98</v>
      </c>
      <c r="F68" s="3">
        <v>0</v>
      </c>
      <c r="G68" s="3">
        <v>70</v>
      </c>
      <c r="H68" s="3">
        <v>197</v>
      </c>
      <c r="I68" s="3">
        <v>117</v>
      </c>
      <c r="J68" s="3">
        <v>122</v>
      </c>
      <c r="K68" s="3">
        <v>153</v>
      </c>
      <c r="L68" s="3">
        <v>129</v>
      </c>
      <c r="M68" s="3">
        <v>88</v>
      </c>
      <c r="N68" s="3">
        <v>201</v>
      </c>
      <c r="O68" s="3">
        <v>141</v>
      </c>
      <c r="P68" s="3">
        <v>109</v>
      </c>
      <c r="Q68" s="3">
        <v>90</v>
      </c>
    </row>
    <row r="69" spans="1:17">
      <c r="A69" s="3" t="s">
        <v>97</v>
      </c>
      <c r="B69" s="3">
        <v>65</v>
      </c>
      <c r="C69" s="3">
        <v>61</v>
      </c>
      <c r="D69" s="3">
        <v>136</v>
      </c>
      <c r="E69" s="3">
        <v>119</v>
      </c>
      <c r="F69" s="3">
        <v>94</v>
      </c>
      <c r="G69" s="3">
        <v>74</v>
      </c>
      <c r="H69" s="3">
        <v>153</v>
      </c>
      <c r="I69" s="3">
        <v>108</v>
      </c>
      <c r="J69" s="3">
        <v>0</v>
      </c>
      <c r="K69" s="3">
        <v>82</v>
      </c>
      <c r="L69" s="3">
        <v>197</v>
      </c>
      <c r="M69" s="3">
        <v>138</v>
      </c>
      <c r="N69" s="3">
        <v>302</v>
      </c>
      <c r="O69" s="3">
        <v>163</v>
      </c>
      <c r="P69" s="3">
        <v>220</v>
      </c>
      <c r="Q69" s="3">
        <v>67</v>
      </c>
    </row>
    <row r="70" spans="1:17">
      <c r="A70" s="3" t="s">
        <v>98</v>
      </c>
      <c r="B70" s="3">
        <v>148</v>
      </c>
      <c r="C70" s="3">
        <v>110</v>
      </c>
      <c r="D70" s="3">
        <v>139</v>
      </c>
      <c r="E70" s="3">
        <v>204</v>
      </c>
      <c r="F70" s="3">
        <v>83</v>
      </c>
      <c r="G70" s="3">
        <v>123</v>
      </c>
      <c r="H70" s="3">
        <v>51</v>
      </c>
      <c r="I70" s="3">
        <v>55</v>
      </c>
      <c r="J70" s="3">
        <v>66</v>
      </c>
      <c r="K70" s="3">
        <v>116</v>
      </c>
      <c r="L70" s="3">
        <v>257</v>
      </c>
      <c r="M70" s="3">
        <v>201</v>
      </c>
      <c r="N70" s="3">
        <v>143</v>
      </c>
      <c r="O70" s="3">
        <v>87</v>
      </c>
      <c r="P70" s="3">
        <v>64</v>
      </c>
      <c r="Q70" s="3">
        <v>92</v>
      </c>
    </row>
    <row r="71" spans="1:17">
      <c r="A71" s="3" t="s">
        <v>99</v>
      </c>
      <c r="B71" s="3">
        <v>260</v>
      </c>
      <c r="C71" s="3">
        <v>208</v>
      </c>
      <c r="D71" s="3">
        <v>249</v>
      </c>
      <c r="E71" s="3">
        <v>196</v>
      </c>
      <c r="F71" s="3">
        <v>21</v>
      </c>
      <c r="G71" s="3">
        <v>34</v>
      </c>
      <c r="H71" s="3">
        <v>102</v>
      </c>
      <c r="I71" s="3">
        <v>86</v>
      </c>
      <c r="J71" s="3">
        <v>0</v>
      </c>
      <c r="K71" s="3">
        <v>0</v>
      </c>
      <c r="L71" s="3">
        <v>143</v>
      </c>
      <c r="M71" s="3">
        <v>127</v>
      </c>
      <c r="N71" s="3">
        <v>177</v>
      </c>
      <c r="O71" s="3">
        <v>109</v>
      </c>
      <c r="P71" s="3">
        <v>117</v>
      </c>
      <c r="Q71" s="3">
        <v>71</v>
      </c>
    </row>
    <row r="72" spans="1:17">
      <c r="A72" s="3" t="s">
        <v>100</v>
      </c>
      <c r="B72" s="3">
        <v>0</v>
      </c>
      <c r="C72" s="3">
        <v>0</v>
      </c>
      <c r="D72" s="3">
        <v>0</v>
      </c>
      <c r="E72" s="3">
        <v>0</v>
      </c>
      <c r="F72" s="3">
        <v>962</v>
      </c>
      <c r="G72" s="3">
        <v>588</v>
      </c>
      <c r="H72" s="3">
        <v>160</v>
      </c>
      <c r="I72" s="3">
        <v>166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</row>
    <row r="73" spans="1:17">
      <c r="A73" s="3" t="s">
        <v>101</v>
      </c>
      <c r="B73" s="3">
        <v>133</v>
      </c>
      <c r="C73" s="3">
        <v>121</v>
      </c>
      <c r="D73" s="3">
        <v>191</v>
      </c>
      <c r="E73" s="3">
        <v>135</v>
      </c>
      <c r="F73" s="3">
        <v>74</v>
      </c>
      <c r="G73" s="3">
        <v>70</v>
      </c>
      <c r="H73" s="3">
        <v>168</v>
      </c>
      <c r="I73" s="3">
        <v>126</v>
      </c>
      <c r="J73" s="3">
        <v>101</v>
      </c>
      <c r="K73" s="3">
        <v>134</v>
      </c>
      <c r="L73" s="3">
        <v>99</v>
      </c>
      <c r="M73" s="3">
        <v>62</v>
      </c>
      <c r="N73" s="3">
        <v>174</v>
      </c>
      <c r="O73" s="3">
        <v>119</v>
      </c>
      <c r="P73" s="3">
        <v>102</v>
      </c>
      <c r="Q73" s="3">
        <v>60</v>
      </c>
    </row>
    <row r="74" spans="1:17">
      <c r="A74" s="3" t="s">
        <v>102</v>
      </c>
      <c r="B74" s="3">
        <v>127</v>
      </c>
      <c r="C74" s="3">
        <v>125</v>
      </c>
      <c r="D74" s="3">
        <v>205</v>
      </c>
      <c r="E74" s="3">
        <v>117</v>
      </c>
      <c r="F74" s="3">
        <v>77</v>
      </c>
      <c r="G74" s="3">
        <v>0</v>
      </c>
      <c r="H74" s="3">
        <v>165</v>
      </c>
      <c r="I74" s="3">
        <v>123</v>
      </c>
      <c r="J74" s="3">
        <v>122</v>
      </c>
      <c r="K74" s="3">
        <v>136</v>
      </c>
      <c r="L74" s="3">
        <v>107</v>
      </c>
      <c r="M74" s="3">
        <v>78</v>
      </c>
      <c r="N74" s="3">
        <v>196</v>
      </c>
      <c r="O74" s="3">
        <v>142</v>
      </c>
      <c r="P74" s="3">
        <v>105</v>
      </c>
      <c r="Q74" s="3">
        <v>0</v>
      </c>
    </row>
    <row r="75" spans="1:17">
      <c r="A75" s="3" t="s">
        <v>103</v>
      </c>
      <c r="B75" s="3">
        <v>223</v>
      </c>
      <c r="C75" s="3">
        <v>165</v>
      </c>
      <c r="D75" s="3">
        <v>0</v>
      </c>
      <c r="E75" s="3">
        <v>0</v>
      </c>
      <c r="F75" s="3">
        <v>0</v>
      </c>
      <c r="G75" s="3">
        <v>183</v>
      </c>
      <c r="H75" s="3">
        <v>0</v>
      </c>
      <c r="I75" s="3">
        <v>0</v>
      </c>
      <c r="J75" s="3">
        <v>0</v>
      </c>
      <c r="K75" s="3">
        <v>144</v>
      </c>
      <c r="L75" s="3">
        <v>147</v>
      </c>
      <c r="M75" s="3">
        <v>197</v>
      </c>
      <c r="N75" s="3">
        <v>221</v>
      </c>
      <c r="O75" s="3">
        <v>196</v>
      </c>
      <c r="P75" s="3">
        <v>168</v>
      </c>
      <c r="Q75" s="3">
        <v>168</v>
      </c>
    </row>
    <row r="76" spans="1:17">
      <c r="A76" s="3" t="s">
        <v>104</v>
      </c>
      <c r="B76" s="3">
        <v>54</v>
      </c>
      <c r="C76" s="3">
        <v>58</v>
      </c>
      <c r="D76" s="3">
        <v>224</v>
      </c>
      <c r="E76" s="3">
        <v>131</v>
      </c>
      <c r="F76" s="3">
        <v>139</v>
      </c>
      <c r="G76" s="3">
        <v>139</v>
      </c>
      <c r="H76" s="3">
        <v>109</v>
      </c>
      <c r="I76" s="3">
        <v>73</v>
      </c>
      <c r="J76" s="3">
        <v>0</v>
      </c>
      <c r="K76" s="3">
        <v>5</v>
      </c>
      <c r="L76" s="3">
        <v>10</v>
      </c>
      <c r="M76" s="3">
        <v>130</v>
      </c>
      <c r="N76" s="3">
        <v>285</v>
      </c>
      <c r="O76" s="3">
        <v>123</v>
      </c>
      <c r="P76" s="3">
        <v>96</v>
      </c>
      <c r="Q76" s="3">
        <v>224</v>
      </c>
    </row>
    <row r="77" spans="1:17">
      <c r="A77" s="3" t="s">
        <v>105</v>
      </c>
      <c r="B77" s="3">
        <v>169</v>
      </c>
      <c r="C77" s="3">
        <v>118</v>
      </c>
      <c r="D77" s="3">
        <v>546</v>
      </c>
      <c r="E77" s="3">
        <v>316</v>
      </c>
      <c r="F77" s="3">
        <v>0</v>
      </c>
      <c r="G77" s="3">
        <v>0</v>
      </c>
      <c r="H77" s="3">
        <v>104</v>
      </c>
      <c r="I77" s="3">
        <v>97</v>
      </c>
      <c r="J77" s="3">
        <v>0</v>
      </c>
      <c r="K77" s="3">
        <v>0</v>
      </c>
      <c r="L77" s="3">
        <v>160</v>
      </c>
      <c r="M77" s="3">
        <v>181</v>
      </c>
      <c r="N77" s="3">
        <v>0</v>
      </c>
      <c r="O77" s="3">
        <v>0</v>
      </c>
      <c r="P77" s="3">
        <v>0</v>
      </c>
      <c r="Q77" s="3">
        <v>0</v>
      </c>
    </row>
    <row r="78" spans="1:17">
      <c r="A78" s="3" t="s">
        <v>106</v>
      </c>
      <c r="B78" s="3">
        <v>102</v>
      </c>
      <c r="C78" s="3">
        <v>77</v>
      </c>
      <c r="D78" s="3">
        <v>154</v>
      </c>
      <c r="E78" s="3">
        <v>84</v>
      </c>
      <c r="F78" s="3">
        <v>121</v>
      </c>
      <c r="G78" s="3">
        <v>188</v>
      </c>
      <c r="H78" s="3">
        <v>66</v>
      </c>
      <c r="I78" s="3">
        <v>111</v>
      </c>
      <c r="J78" s="3">
        <v>37</v>
      </c>
      <c r="K78" s="3">
        <v>66</v>
      </c>
      <c r="L78" s="3">
        <v>158</v>
      </c>
      <c r="M78" s="3">
        <v>96</v>
      </c>
      <c r="N78" s="3">
        <v>118</v>
      </c>
      <c r="O78" s="3">
        <v>55</v>
      </c>
      <c r="P78" s="3">
        <v>49</v>
      </c>
      <c r="Q78" s="3">
        <v>79</v>
      </c>
    </row>
    <row r="79" spans="1:17">
      <c r="A79" s="3" t="s">
        <v>107</v>
      </c>
      <c r="B79" s="3">
        <v>57</v>
      </c>
      <c r="C79" s="3">
        <v>23</v>
      </c>
      <c r="D79" s="3">
        <v>79</v>
      </c>
      <c r="E79" s="3">
        <v>56</v>
      </c>
      <c r="F79" s="3">
        <v>47</v>
      </c>
      <c r="G79" s="3">
        <v>42</v>
      </c>
      <c r="H79" s="3">
        <v>163</v>
      </c>
      <c r="I79" s="3">
        <v>86</v>
      </c>
      <c r="J79" s="3">
        <v>229</v>
      </c>
      <c r="K79" s="3">
        <v>89</v>
      </c>
      <c r="L79" s="3">
        <v>65</v>
      </c>
      <c r="M79" s="3">
        <v>77</v>
      </c>
      <c r="N79" s="3">
        <v>68</v>
      </c>
      <c r="O79" s="3">
        <v>109</v>
      </c>
      <c r="P79" s="3">
        <v>225</v>
      </c>
      <c r="Q79" s="3">
        <v>71</v>
      </c>
    </row>
    <row r="80" spans="1:17">
      <c r="A80" s="3" t="s">
        <v>108</v>
      </c>
      <c r="B80" s="3">
        <v>92</v>
      </c>
      <c r="C80" s="3">
        <v>85</v>
      </c>
      <c r="D80" s="3">
        <v>121</v>
      </c>
      <c r="E80" s="3">
        <v>72</v>
      </c>
      <c r="F80" s="3">
        <v>111</v>
      </c>
      <c r="G80" s="3">
        <v>56</v>
      </c>
      <c r="H80" s="3">
        <v>86</v>
      </c>
      <c r="I80" s="3">
        <v>57</v>
      </c>
      <c r="J80" s="3">
        <v>137</v>
      </c>
      <c r="K80" s="3">
        <v>69</v>
      </c>
      <c r="L80" s="3">
        <v>67</v>
      </c>
      <c r="M80" s="3">
        <v>99</v>
      </c>
      <c r="N80" s="3">
        <v>92</v>
      </c>
      <c r="O80" s="3">
        <v>88</v>
      </c>
      <c r="P80" s="3">
        <v>166</v>
      </c>
      <c r="Q80" s="3">
        <v>71</v>
      </c>
    </row>
    <row r="81" spans="1:17">
      <c r="A81" s="3" t="s">
        <v>109</v>
      </c>
      <c r="B81" s="3">
        <v>129</v>
      </c>
      <c r="C81" s="3">
        <v>73</v>
      </c>
      <c r="D81" s="3">
        <v>99</v>
      </c>
      <c r="E81" s="3">
        <v>98</v>
      </c>
      <c r="F81" s="3">
        <v>58</v>
      </c>
      <c r="G81" s="3">
        <v>82</v>
      </c>
      <c r="H81" s="3">
        <v>155</v>
      </c>
      <c r="I81" s="3">
        <v>73</v>
      </c>
      <c r="J81" s="3">
        <v>70</v>
      </c>
      <c r="K81" s="3">
        <v>94</v>
      </c>
      <c r="L81" s="3">
        <v>44</v>
      </c>
      <c r="M81" s="3">
        <v>61</v>
      </c>
      <c r="N81" s="3">
        <v>108</v>
      </c>
      <c r="O81" s="3">
        <v>65</v>
      </c>
      <c r="P81" s="3">
        <v>117</v>
      </c>
      <c r="Q81" s="3">
        <v>98</v>
      </c>
    </row>
    <row r="82" spans="1:17">
      <c r="A82" s="3" t="s">
        <v>110</v>
      </c>
      <c r="B82" s="3">
        <v>104</v>
      </c>
      <c r="C82" s="3">
        <v>84</v>
      </c>
      <c r="D82" s="3">
        <v>211</v>
      </c>
      <c r="E82" s="3">
        <v>135</v>
      </c>
      <c r="F82" s="3">
        <v>29</v>
      </c>
      <c r="G82" s="3">
        <v>21</v>
      </c>
      <c r="H82" s="3">
        <v>125</v>
      </c>
      <c r="I82" s="3">
        <v>89</v>
      </c>
      <c r="J82" s="3">
        <v>0</v>
      </c>
      <c r="K82" s="3">
        <v>21</v>
      </c>
      <c r="L82" s="3">
        <v>197</v>
      </c>
      <c r="M82" s="3">
        <v>141</v>
      </c>
      <c r="N82" s="3">
        <v>48</v>
      </c>
      <c r="O82" s="3">
        <v>37</v>
      </c>
      <c r="P82" s="3">
        <v>84</v>
      </c>
      <c r="Q82" s="3">
        <v>49</v>
      </c>
    </row>
    <row r="83" spans="1:17">
      <c r="A83" s="3" t="s">
        <v>111</v>
      </c>
      <c r="B83" s="3">
        <v>63</v>
      </c>
      <c r="C83" s="3">
        <v>0</v>
      </c>
      <c r="D83" s="3">
        <v>73</v>
      </c>
      <c r="E83" s="3">
        <v>0</v>
      </c>
      <c r="F83" s="3">
        <v>65</v>
      </c>
      <c r="G83" s="3">
        <v>62</v>
      </c>
      <c r="H83" s="3">
        <v>85</v>
      </c>
      <c r="I83" s="3">
        <v>56</v>
      </c>
      <c r="J83" s="3">
        <v>94</v>
      </c>
      <c r="K83" s="3">
        <v>146</v>
      </c>
      <c r="L83" s="3">
        <v>338</v>
      </c>
      <c r="M83" s="3">
        <v>189</v>
      </c>
      <c r="N83" s="3">
        <v>162</v>
      </c>
      <c r="O83" s="3">
        <v>0</v>
      </c>
      <c r="P83" s="3">
        <v>0</v>
      </c>
      <c r="Q83" s="3">
        <v>0</v>
      </c>
    </row>
    <row r="84" spans="1:17">
      <c r="A84" s="3" t="s">
        <v>112</v>
      </c>
      <c r="B84" s="3">
        <v>41</v>
      </c>
      <c r="C84" s="3">
        <v>36</v>
      </c>
      <c r="D84" s="3">
        <v>54</v>
      </c>
      <c r="E84" s="3">
        <v>0</v>
      </c>
      <c r="F84" s="3">
        <v>84</v>
      </c>
      <c r="G84" s="3">
        <v>118</v>
      </c>
      <c r="H84" s="3">
        <v>53</v>
      </c>
      <c r="I84" s="3">
        <v>55</v>
      </c>
      <c r="J84" s="3">
        <v>0</v>
      </c>
      <c r="K84" s="3">
        <v>0</v>
      </c>
      <c r="L84" s="3">
        <v>164</v>
      </c>
      <c r="M84" s="3">
        <v>110</v>
      </c>
      <c r="N84" s="3">
        <v>153</v>
      </c>
      <c r="O84" s="3">
        <v>70</v>
      </c>
      <c r="P84" s="3">
        <v>192</v>
      </c>
      <c r="Q84" s="3">
        <v>200</v>
      </c>
    </row>
    <row r="85" spans="1:17">
      <c r="A85" s="3" t="s">
        <v>113</v>
      </c>
      <c r="B85" s="3">
        <v>163</v>
      </c>
      <c r="C85" s="3">
        <v>81</v>
      </c>
      <c r="D85" s="3">
        <v>28</v>
      </c>
      <c r="E85" s="3">
        <v>28</v>
      </c>
      <c r="F85" s="3">
        <v>0</v>
      </c>
      <c r="G85" s="3">
        <v>0</v>
      </c>
      <c r="H85" s="3">
        <v>35</v>
      </c>
      <c r="I85" s="3">
        <v>19</v>
      </c>
      <c r="J85" s="3">
        <v>165</v>
      </c>
      <c r="K85" s="3">
        <v>142</v>
      </c>
      <c r="L85" s="3">
        <v>87</v>
      </c>
      <c r="M85" s="3">
        <v>140</v>
      </c>
      <c r="N85" s="3">
        <v>329</v>
      </c>
      <c r="O85" s="3">
        <v>110</v>
      </c>
      <c r="P85" s="3">
        <v>0</v>
      </c>
      <c r="Q85" s="3">
        <v>0</v>
      </c>
    </row>
    <row r="86" spans="1:17">
      <c r="A86" s="3" t="s">
        <v>114</v>
      </c>
      <c r="B86" s="3">
        <v>227</v>
      </c>
      <c r="C86" s="3">
        <v>160</v>
      </c>
      <c r="D86" s="3">
        <v>43</v>
      </c>
      <c r="E86" s="3">
        <v>9</v>
      </c>
      <c r="F86" s="3">
        <v>0</v>
      </c>
      <c r="G86" s="3">
        <v>0</v>
      </c>
      <c r="H86" s="3">
        <v>11</v>
      </c>
      <c r="I86" s="3">
        <v>0</v>
      </c>
      <c r="J86" s="3">
        <v>0</v>
      </c>
      <c r="K86" s="3">
        <v>82</v>
      </c>
      <c r="L86" s="3">
        <v>383</v>
      </c>
      <c r="M86" s="3">
        <v>322</v>
      </c>
      <c r="N86" s="3">
        <v>33</v>
      </c>
      <c r="O86" s="3">
        <v>15</v>
      </c>
      <c r="P86" s="3">
        <v>0</v>
      </c>
      <c r="Q86" s="3">
        <v>0</v>
      </c>
    </row>
    <row r="87" spans="1:17">
      <c r="A87" s="3" t="s">
        <v>115</v>
      </c>
      <c r="B87" s="3">
        <v>0</v>
      </c>
      <c r="C87" s="3">
        <v>0</v>
      </c>
      <c r="D87" s="3">
        <v>0</v>
      </c>
      <c r="E87" s="3">
        <v>0</v>
      </c>
      <c r="F87" s="3">
        <v>254</v>
      </c>
      <c r="G87" s="3">
        <v>318</v>
      </c>
      <c r="H87" s="3">
        <v>0</v>
      </c>
      <c r="I87" s="3">
        <v>0</v>
      </c>
      <c r="J87" s="3">
        <v>0</v>
      </c>
      <c r="K87" s="3">
        <v>0</v>
      </c>
      <c r="L87" s="3">
        <v>291</v>
      </c>
      <c r="M87" s="3">
        <v>222</v>
      </c>
      <c r="N87" s="3">
        <v>0</v>
      </c>
      <c r="O87" s="3">
        <v>0</v>
      </c>
      <c r="P87" s="3">
        <v>112</v>
      </c>
      <c r="Q87" s="3">
        <v>61</v>
      </c>
    </row>
    <row r="88" spans="1:17">
      <c r="A88" s="3" t="s">
        <v>116</v>
      </c>
      <c r="B88" s="3">
        <v>40</v>
      </c>
      <c r="C88" s="3">
        <v>66</v>
      </c>
      <c r="D88" s="3">
        <v>138</v>
      </c>
      <c r="E88" s="3">
        <v>365</v>
      </c>
      <c r="F88" s="3">
        <v>50</v>
      </c>
      <c r="G88" s="3">
        <v>112</v>
      </c>
      <c r="H88" s="3">
        <v>51</v>
      </c>
      <c r="I88" s="3">
        <v>34</v>
      </c>
      <c r="J88" s="3">
        <v>0</v>
      </c>
      <c r="K88" s="3">
        <v>0</v>
      </c>
      <c r="L88" s="3">
        <v>24</v>
      </c>
      <c r="M88" s="3">
        <v>181</v>
      </c>
      <c r="N88" s="3">
        <v>79</v>
      </c>
      <c r="O88" s="3">
        <v>45</v>
      </c>
      <c r="P88" s="3">
        <v>31</v>
      </c>
      <c r="Q88" s="3">
        <v>40</v>
      </c>
    </row>
    <row r="89" spans="1:17">
      <c r="A89" s="3" t="s">
        <v>117</v>
      </c>
      <c r="B89" s="3">
        <v>113</v>
      </c>
      <c r="C89" s="3">
        <v>90</v>
      </c>
      <c r="D89" s="3">
        <v>64</v>
      </c>
      <c r="E89" s="3">
        <v>54</v>
      </c>
      <c r="F89" s="3">
        <v>180</v>
      </c>
      <c r="G89" s="3">
        <v>209</v>
      </c>
      <c r="H89" s="3">
        <v>42</v>
      </c>
      <c r="I89" s="3">
        <v>40</v>
      </c>
      <c r="J89" s="3">
        <v>74</v>
      </c>
      <c r="K89" s="3">
        <v>37</v>
      </c>
      <c r="L89" s="3">
        <v>45</v>
      </c>
      <c r="M89" s="3">
        <v>55</v>
      </c>
      <c r="N89" s="3">
        <v>77</v>
      </c>
      <c r="O89" s="3">
        <v>44</v>
      </c>
      <c r="P89" s="3">
        <v>23</v>
      </c>
      <c r="Q89" s="3">
        <v>74</v>
      </c>
    </row>
    <row r="90" spans="1:17">
      <c r="A90" s="3" t="s">
        <v>118</v>
      </c>
      <c r="B90" s="3">
        <v>125</v>
      </c>
      <c r="C90" s="3">
        <v>95</v>
      </c>
      <c r="D90" s="3">
        <v>101</v>
      </c>
      <c r="E90" s="3">
        <v>85</v>
      </c>
      <c r="F90" s="3">
        <v>36</v>
      </c>
      <c r="G90" s="3">
        <v>73</v>
      </c>
      <c r="H90" s="3">
        <v>77</v>
      </c>
      <c r="I90" s="3">
        <v>47</v>
      </c>
      <c r="J90" s="3">
        <v>0</v>
      </c>
      <c r="K90" s="3">
        <v>64</v>
      </c>
      <c r="L90" s="3">
        <v>87</v>
      </c>
      <c r="M90" s="3">
        <v>86</v>
      </c>
      <c r="N90" s="3">
        <v>104</v>
      </c>
      <c r="O90" s="3">
        <v>56</v>
      </c>
      <c r="P90" s="3">
        <v>69</v>
      </c>
      <c r="Q90" s="3">
        <v>99</v>
      </c>
    </row>
    <row r="91" spans="1:17">
      <c r="A91" s="3" t="s">
        <v>119</v>
      </c>
      <c r="B91" s="3">
        <v>108</v>
      </c>
      <c r="C91" s="3">
        <v>40</v>
      </c>
      <c r="D91" s="3">
        <v>75</v>
      </c>
      <c r="E91" s="3">
        <v>71</v>
      </c>
      <c r="F91" s="3">
        <v>44</v>
      </c>
      <c r="G91" s="3">
        <v>59</v>
      </c>
      <c r="H91" s="3">
        <v>78</v>
      </c>
      <c r="I91" s="3">
        <v>41</v>
      </c>
      <c r="J91" s="3">
        <v>63</v>
      </c>
      <c r="K91" s="3">
        <v>74</v>
      </c>
      <c r="L91" s="3">
        <v>115</v>
      </c>
      <c r="M91" s="3">
        <v>90</v>
      </c>
      <c r="N91" s="3">
        <v>58</v>
      </c>
      <c r="O91" s="3">
        <v>40</v>
      </c>
      <c r="P91" s="3">
        <v>85</v>
      </c>
      <c r="Q91" s="3">
        <v>84</v>
      </c>
    </row>
    <row r="92" spans="1:17">
      <c r="A92" s="3" t="s">
        <v>120</v>
      </c>
      <c r="B92" s="3">
        <v>0</v>
      </c>
      <c r="C92" s="3">
        <v>0</v>
      </c>
      <c r="D92" s="3">
        <v>102</v>
      </c>
      <c r="E92" s="3">
        <v>51</v>
      </c>
      <c r="F92" s="3">
        <v>0</v>
      </c>
      <c r="G92" s="3">
        <v>0</v>
      </c>
      <c r="H92" s="3">
        <v>51</v>
      </c>
      <c r="I92" s="3">
        <v>52</v>
      </c>
      <c r="J92" s="3">
        <v>149</v>
      </c>
      <c r="K92" s="3">
        <v>114</v>
      </c>
      <c r="L92" s="3">
        <v>112</v>
      </c>
      <c r="M92" s="3">
        <v>100</v>
      </c>
      <c r="N92" s="3">
        <v>136</v>
      </c>
      <c r="O92" s="3">
        <v>99</v>
      </c>
      <c r="P92" s="3">
        <v>108</v>
      </c>
      <c r="Q92" s="3">
        <v>37</v>
      </c>
    </row>
    <row r="93" spans="1:17">
      <c r="A93" s="3" t="s">
        <v>121</v>
      </c>
      <c r="B93" s="3">
        <v>0</v>
      </c>
      <c r="C93" s="3">
        <v>0</v>
      </c>
      <c r="D93" s="3">
        <v>0</v>
      </c>
      <c r="E93" s="3">
        <v>0</v>
      </c>
      <c r="F93" s="3">
        <v>496</v>
      </c>
      <c r="G93" s="3">
        <v>599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1:17">
      <c r="A94" s="3" t="s">
        <v>122</v>
      </c>
      <c r="B94" s="3">
        <v>73</v>
      </c>
      <c r="C94" s="3">
        <v>75</v>
      </c>
      <c r="D94" s="3">
        <v>72</v>
      </c>
      <c r="E94" s="3">
        <v>75</v>
      </c>
      <c r="F94" s="3">
        <v>76</v>
      </c>
      <c r="G94" s="3">
        <v>56</v>
      </c>
      <c r="H94" s="3">
        <v>65</v>
      </c>
      <c r="I94" s="3">
        <v>47</v>
      </c>
      <c r="J94" s="3">
        <v>7</v>
      </c>
      <c r="K94" s="3">
        <v>120</v>
      </c>
      <c r="L94" s="3">
        <v>82</v>
      </c>
      <c r="M94" s="3">
        <v>67</v>
      </c>
      <c r="N94" s="3">
        <v>50</v>
      </c>
      <c r="O94" s="3">
        <v>58</v>
      </c>
      <c r="P94" s="3">
        <v>44</v>
      </c>
      <c r="Q94" s="3">
        <v>96</v>
      </c>
    </row>
    <row r="95" spans="1:17">
      <c r="A95" s="3" t="s">
        <v>123</v>
      </c>
      <c r="B95" s="3">
        <v>131</v>
      </c>
      <c r="C95" s="3">
        <v>90</v>
      </c>
      <c r="D95" s="3">
        <v>120</v>
      </c>
      <c r="E95" s="3">
        <v>71</v>
      </c>
      <c r="F95" s="3">
        <v>168</v>
      </c>
      <c r="G95" s="3">
        <v>177</v>
      </c>
      <c r="H95" s="3">
        <v>54</v>
      </c>
      <c r="I95" s="3">
        <v>0</v>
      </c>
      <c r="J95" s="3">
        <v>0</v>
      </c>
      <c r="K95" s="3">
        <v>0</v>
      </c>
      <c r="L95" s="3">
        <v>0</v>
      </c>
      <c r="M95" s="3">
        <v>66</v>
      </c>
      <c r="N95" s="3">
        <v>94</v>
      </c>
      <c r="O95" s="3">
        <v>0</v>
      </c>
      <c r="P95" s="3">
        <v>0</v>
      </c>
      <c r="Q95" s="3">
        <v>79</v>
      </c>
    </row>
    <row r="96" spans="1:17">
      <c r="A96" s="3" t="s">
        <v>124</v>
      </c>
      <c r="B96" s="3">
        <v>32</v>
      </c>
      <c r="C96" s="3">
        <v>34</v>
      </c>
      <c r="D96" s="3">
        <v>148</v>
      </c>
      <c r="E96" s="3">
        <v>46</v>
      </c>
      <c r="F96" s="3">
        <v>77</v>
      </c>
      <c r="G96" s="3">
        <v>32</v>
      </c>
      <c r="H96" s="3">
        <v>139</v>
      </c>
      <c r="I96" s="3">
        <v>94</v>
      </c>
      <c r="J96" s="3">
        <v>79</v>
      </c>
      <c r="K96" s="3">
        <v>11</v>
      </c>
      <c r="L96" s="3">
        <v>13</v>
      </c>
      <c r="M96" s="3">
        <v>14</v>
      </c>
      <c r="N96" s="3">
        <v>149</v>
      </c>
      <c r="O96" s="3">
        <v>105</v>
      </c>
      <c r="P96" s="3">
        <v>55</v>
      </c>
      <c r="Q96" s="3">
        <v>9</v>
      </c>
    </row>
    <row r="97" spans="1:17">
      <c r="A97" s="3" t="s">
        <v>125</v>
      </c>
      <c r="B97" s="3">
        <v>191</v>
      </c>
      <c r="C97" s="3">
        <v>130</v>
      </c>
      <c r="D97" s="3">
        <v>0</v>
      </c>
      <c r="E97" s="3">
        <v>70</v>
      </c>
      <c r="F97" s="3">
        <v>0</v>
      </c>
      <c r="G97" s="3">
        <v>0</v>
      </c>
      <c r="H97" s="3">
        <v>122</v>
      </c>
      <c r="I97" s="3">
        <v>136</v>
      </c>
      <c r="J97" s="3">
        <v>89</v>
      </c>
      <c r="K97" s="3">
        <v>114</v>
      </c>
      <c r="L97" s="3">
        <v>64</v>
      </c>
      <c r="M97" s="3">
        <v>74</v>
      </c>
      <c r="N97" s="3">
        <v>0</v>
      </c>
      <c r="O97" s="3">
        <v>0</v>
      </c>
      <c r="P97" s="3">
        <v>0</v>
      </c>
      <c r="Q97" s="3">
        <v>0</v>
      </c>
    </row>
    <row r="98" spans="1:17">
      <c r="A98" s="3" t="s">
        <v>126</v>
      </c>
      <c r="B98" s="3">
        <v>30</v>
      </c>
      <c r="C98" s="3">
        <v>36</v>
      </c>
      <c r="D98" s="3">
        <v>88</v>
      </c>
      <c r="E98" s="3">
        <v>62</v>
      </c>
      <c r="F98" s="3">
        <v>0</v>
      </c>
      <c r="G98" s="3">
        <v>0</v>
      </c>
      <c r="H98" s="3">
        <v>28</v>
      </c>
      <c r="I98" s="3">
        <v>24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323</v>
      </c>
      <c r="Q98" s="3">
        <v>397</v>
      </c>
    </row>
    <row r="99" spans="1:17">
      <c r="A99" s="3" t="s">
        <v>127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137</v>
      </c>
      <c r="I99" s="3">
        <v>137</v>
      </c>
      <c r="J99" s="3">
        <v>240</v>
      </c>
      <c r="K99" s="3">
        <v>59</v>
      </c>
      <c r="L99" s="3">
        <v>0</v>
      </c>
      <c r="M99" s="3">
        <v>140</v>
      </c>
      <c r="N99" s="3">
        <v>185</v>
      </c>
      <c r="O99" s="3">
        <v>79</v>
      </c>
      <c r="P99" s="3">
        <v>0</v>
      </c>
      <c r="Q99" s="3">
        <v>0</v>
      </c>
    </row>
    <row r="100" spans="1:17">
      <c r="A100" s="3" t="s">
        <v>128</v>
      </c>
      <c r="B100" s="3">
        <v>50</v>
      </c>
      <c r="C100" s="3">
        <v>21</v>
      </c>
      <c r="D100" s="3">
        <v>156</v>
      </c>
      <c r="E100" s="3">
        <v>39</v>
      </c>
      <c r="F100" s="3">
        <v>43</v>
      </c>
      <c r="G100" s="3">
        <v>30</v>
      </c>
      <c r="H100" s="3">
        <v>68</v>
      </c>
      <c r="I100" s="3">
        <v>58</v>
      </c>
      <c r="J100" s="3">
        <v>65</v>
      </c>
      <c r="K100" s="3">
        <v>0</v>
      </c>
      <c r="L100" s="3">
        <v>59</v>
      </c>
      <c r="M100" s="3">
        <v>41</v>
      </c>
      <c r="N100" s="3">
        <v>82</v>
      </c>
      <c r="O100" s="3">
        <v>57</v>
      </c>
      <c r="P100" s="3">
        <v>94</v>
      </c>
      <c r="Q100" s="3">
        <v>31</v>
      </c>
    </row>
    <row r="101" spans="1:17">
      <c r="A101" s="3" t="s">
        <v>129</v>
      </c>
      <c r="B101" s="3">
        <v>75</v>
      </c>
      <c r="C101" s="3">
        <v>33</v>
      </c>
      <c r="D101" s="3">
        <v>68</v>
      </c>
      <c r="E101" s="3">
        <v>56</v>
      </c>
      <c r="F101" s="3">
        <v>38</v>
      </c>
      <c r="G101" s="3">
        <v>35</v>
      </c>
      <c r="H101" s="3">
        <v>95</v>
      </c>
      <c r="I101" s="3">
        <v>81</v>
      </c>
      <c r="J101" s="3">
        <v>36</v>
      </c>
      <c r="K101" s="3">
        <v>19</v>
      </c>
      <c r="L101" s="3">
        <v>111</v>
      </c>
      <c r="M101" s="3">
        <v>58</v>
      </c>
      <c r="N101" s="3">
        <v>72</v>
      </c>
      <c r="O101" s="3">
        <v>49</v>
      </c>
      <c r="P101" s="3">
        <v>44</v>
      </c>
      <c r="Q101" s="3">
        <v>13</v>
      </c>
    </row>
    <row r="102" spans="1:17">
      <c r="A102" s="3" t="s">
        <v>130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333</v>
      </c>
      <c r="M102" s="3">
        <v>301</v>
      </c>
      <c r="N102" s="3">
        <v>0</v>
      </c>
      <c r="O102" s="3">
        <v>0</v>
      </c>
      <c r="P102" s="3">
        <v>123</v>
      </c>
      <c r="Q102" s="3">
        <v>96</v>
      </c>
    </row>
    <row r="103" spans="1:17">
      <c r="A103" s="3" t="s">
        <v>131</v>
      </c>
      <c r="B103" s="3">
        <v>24</v>
      </c>
      <c r="C103" s="3">
        <v>13</v>
      </c>
      <c r="D103" s="3">
        <v>50</v>
      </c>
      <c r="E103" s="3">
        <v>35</v>
      </c>
      <c r="F103" s="3">
        <v>42</v>
      </c>
      <c r="G103" s="3">
        <v>72</v>
      </c>
      <c r="H103" s="3">
        <v>67</v>
      </c>
      <c r="I103" s="3">
        <v>22</v>
      </c>
      <c r="J103" s="3">
        <v>109</v>
      </c>
      <c r="K103" s="3">
        <v>118</v>
      </c>
      <c r="L103" s="3">
        <v>128</v>
      </c>
      <c r="M103" s="3">
        <v>58</v>
      </c>
      <c r="N103" s="3">
        <v>43</v>
      </c>
      <c r="O103" s="3">
        <v>21</v>
      </c>
      <c r="P103" s="3">
        <v>16</v>
      </c>
      <c r="Q103" s="3">
        <v>18</v>
      </c>
    </row>
    <row r="104" spans="1:17">
      <c r="A104" s="3" t="s">
        <v>132</v>
      </c>
      <c r="B104" s="3">
        <v>136</v>
      </c>
      <c r="C104" s="3">
        <v>92</v>
      </c>
      <c r="D104" s="3">
        <v>50</v>
      </c>
      <c r="E104" s="3">
        <v>70</v>
      </c>
      <c r="F104" s="3">
        <v>13</v>
      </c>
      <c r="G104" s="3">
        <v>20</v>
      </c>
      <c r="H104" s="3">
        <v>42</v>
      </c>
      <c r="I104" s="3">
        <v>20</v>
      </c>
      <c r="J104" s="3">
        <v>22</v>
      </c>
      <c r="K104" s="3">
        <v>38</v>
      </c>
      <c r="L104" s="3">
        <v>12</v>
      </c>
      <c r="M104" s="3">
        <v>42</v>
      </c>
      <c r="N104" s="3">
        <v>61</v>
      </c>
      <c r="O104" s="3">
        <v>56</v>
      </c>
      <c r="P104" s="3">
        <v>72</v>
      </c>
      <c r="Q104" s="3">
        <v>73</v>
      </c>
    </row>
    <row r="105" spans="1:17">
      <c r="A105" s="3" t="s">
        <v>133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162</v>
      </c>
      <c r="I105" s="3">
        <v>98</v>
      </c>
      <c r="J105" s="3">
        <v>216</v>
      </c>
      <c r="K105" s="3">
        <v>80</v>
      </c>
      <c r="L105" s="3">
        <v>41</v>
      </c>
      <c r="M105" s="3">
        <v>99</v>
      </c>
      <c r="N105" s="3">
        <v>119</v>
      </c>
      <c r="O105" s="3">
        <v>0</v>
      </c>
      <c r="P105" s="3">
        <v>0</v>
      </c>
      <c r="Q105" s="3">
        <v>0</v>
      </c>
    </row>
    <row r="106" spans="1:17">
      <c r="A106" s="3" t="s">
        <v>134</v>
      </c>
      <c r="B106" s="3">
        <v>39</v>
      </c>
      <c r="C106" s="3">
        <v>36</v>
      </c>
      <c r="D106" s="3">
        <v>72</v>
      </c>
      <c r="E106" s="3">
        <v>35</v>
      </c>
      <c r="F106" s="3">
        <v>34</v>
      </c>
      <c r="G106" s="3">
        <v>38</v>
      </c>
      <c r="H106" s="3">
        <v>31</v>
      </c>
      <c r="I106" s="3">
        <v>49</v>
      </c>
      <c r="J106" s="3">
        <v>89</v>
      </c>
      <c r="K106" s="3">
        <v>59</v>
      </c>
      <c r="L106" s="3">
        <v>29</v>
      </c>
      <c r="M106" s="3">
        <v>30</v>
      </c>
      <c r="N106" s="3">
        <v>52</v>
      </c>
      <c r="O106" s="3">
        <v>65</v>
      </c>
      <c r="P106" s="3">
        <v>91</v>
      </c>
      <c r="Q106" s="3">
        <v>51</v>
      </c>
    </row>
    <row r="107" spans="1:17">
      <c r="A107" s="3" t="s">
        <v>135</v>
      </c>
      <c r="B107" s="3">
        <v>68</v>
      </c>
      <c r="C107" s="3">
        <v>48</v>
      </c>
      <c r="D107" s="3">
        <v>119</v>
      </c>
      <c r="E107" s="3">
        <v>68</v>
      </c>
      <c r="F107" s="3">
        <v>41</v>
      </c>
      <c r="G107" s="3">
        <v>49</v>
      </c>
      <c r="H107" s="3">
        <v>77</v>
      </c>
      <c r="I107" s="3">
        <v>34</v>
      </c>
      <c r="J107" s="3">
        <v>28</v>
      </c>
      <c r="K107" s="3">
        <v>29</v>
      </c>
      <c r="L107" s="3">
        <v>58</v>
      </c>
      <c r="M107" s="3">
        <v>20</v>
      </c>
      <c r="N107" s="3">
        <v>42</v>
      </c>
      <c r="O107" s="3">
        <v>31</v>
      </c>
      <c r="P107" s="3">
        <v>47</v>
      </c>
      <c r="Q107" s="3">
        <v>40</v>
      </c>
    </row>
    <row r="108" spans="1:17">
      <c r="A108" s="3" t="s">
        <v>136</v>
      </c>
      <c r="B108" s="3">
        <v>0</v>
      </c>
      <c r="C108" s="3">
        <v>0</v>
      </c>
      <c r="D108" s="3">
        <v>48</v>
      </c>
      <c r="E108" s="3">
        <v>39</v>
      </c>
      <c r="F108" s="3">
        <v>0</v>
      </c>
      <c r="G108" s="3">
        <v>0</v>
      </c>
      <c r="H108" s="3">
        <v>0</v>
      </c>
      <c r="I108" s="3">
        <v>0</v>
      </c>
      <c r="J108" s="3">
        <v>226</v>
      </c>
      <c r="K108" s="3">
        <v>100</v>
      </c>
      <c r="L108" s="3">
        <v>70</v>
      </c>
      <c r="M108" s="3">
        <v>67</v>
      </c>
      <c r="N108" s="3">
        <v>108</v>
      </c>
      <c r="O108" s="3">
        <v>76</v>
      </c>
      <c r="P108" s="3">
        <v>63</v>
      </c>
      <c r="Q108" s="3">
        <v>0</v>
      </c>
    </row>
    <row r="109" spans="1:17">
      <c r="A109" s="3" t="s">
        <v>137</v>
      </c>
      <c r="B109" s="3">
        <v>128</v>
      </c>
      <c r="C109" s="3">
        <v>134</v>
      </c>
      <c r="D109" s="3">
        <v>170</v>
      </c>
      <c r="E109" s="3">
        <v>61</v>
      </c>
      <c r="F109" s="3">
        <v>0</v>
      </c>
      <c r="G109" s="3">
        <v>13</v>
      </c>
      <c r="H109" s="3">
        <v>0</v>
      </c>
      <c r="I109" s="3">
        <v>8</v>
      </c>
      <c r="J109" s="3">
        <v>33</v>
      </c>
      <c r="K109" s="3">
        <v>25</v>
      </c>
      <c r="L109" s="3">
        <v>16</v>
      </c>
      <c r="M109" s="3">
        <v>28</v>
      </c>
      <c r="N109" s="3">
        <v>84</v>
      </c>
      <c r="O109" s="3">
        <v>96</v>
      </c>
      <c r="P109" s="3">
        <v>0</v>
      </c>
      <c r="Q109" s="3">
        <v>0</v>
      </c>
    </row>
    <row r="110" spans="1:17">
      <c r="A110" s="3" t="s">
        <v>138</v>
      </c>
      <c r="B110" s="3">
        <v>300</v>
      </c>
      <c r="C110" s="3">
        <v>266</v>
      </c>
      <c r="D110" s="3">
        <v>0</v>
      </c>
      <c r="E110" s="3">
        <v>0</v>
      </c>
      <c r="F110" s="3">
        <v>115</v>
      </c>
      <c r="G110" s="3">
        <v>111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</row>
    <row r="111" spans="1:17">
      <c r="A111" s="3" t="s">
        <v>139</v>
      </c>
      <c r="B111" s="3">
        <v>211</v>
      </c>
      <c r="C111" s="3">
        <v>148</v>
      </c>
      <c r="D111" s="3">
        <v>0</v>
      </c>
      <c r="E111" s="3">
        <v>58</v>
      </c>
      <c r="F111" s="3">
        <v>0</v>
      </c>
      <c r="G111" s="3">
        <v>0</v>
      </c>
      <c r="H111" s="3">
        <v>99</v>
      </c>
      <c r="I111" s="3">
        <v>113</v>
      </c>
      <c r="J111" s="3">
        <v>66</v>
      </c>
      <c r="K111" s="3">
        <v>90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</row>
    <row r="112" spans="1:17">
      <c r="A112" s="3" t="s">
        <v>140</v>
      </c>
      <c r="B112" s="3">
        <v>106</v>
      </c>
      <c r="C112" s="3">
        <v>45</v>
      </c>
      <c r="D112" s="3">
        <v>0</v>
      </c>
      <c r="E112" s="3">
        <v>10</v>
      </c>
      <c r="F112" s="3">
        <v>66</v>
      </c>
      <c r="G112" s="3">
        <v>55</v>
      </c>
      <c r="H112" s="3">
        <v>56</v>
      </c>
      <c r="I112" s="3">
        <v>63</v>
      </c>
      <c r="J112" s="3">
        <v>59</v>
      </c>
      <c r="K112" s="3">
        <v>116</v>
      </c>
      <c r="L112" s="3">
        <v>43</v>
      </c>
      <c r="M112" s="3">
        <v>40</v>
      </c>
      <c r="N112" s="3">
        <v>14</v>
      </c>
      <c r="O112" s="3">
        <v>5</v>
      </c>
      <c r="P112" s="3">
        <v>40</v>
      </c>
      <c r="Q112" s="3">
        <v>33</v>
      </c>
    </row>
    <row r="113" spans="1:17">
      <c r="A113" s="3" t="s">
        <v>141</v>
      </c>
      <c r="B113" s="3">
        <v>0</v>
      </c>
      <c r="C113" s="3">
        <v>0</v>
      </c>
      <c r="D113" s="3">
        <v>6</v>
      </c>
      <c r="E113" s="3">
        <v>8</v>
      </c>
      <c r="F113" s="3">
        <v>47</v>
      </c>
      <c r="G113" s="3">
        <v>0</v>
      </c>
      <c r="H113" s="3">
        <v>9</v>
      </c>
      <c r="I113" s="3">
        <v>8</v>
      </c>
      <c r="J113" s="3">
        <v>490</v>
      </c>
      <c r="K113" s="3">
        <v>43</v>
      </c>
      <c r="L113" s="3">
        <v>71</v>
      </c>
      <c r="M113" s="3">
        <v>17</v>
      </c>
      <c r="N113" s="3">
        <v>37</v>
      </c>
      <c r="O113" s="3">
        <v>10</v>
      </c>
      <c r="P113" s="3">
        <v>4</v>
      </c>
      <c r="Q113" s="3">
        <v>0</v>
      </c>
    </row>
    <row r="114" spans="1:17">
      <c r="A114" s="3" t="s">
        <v>142</v>
      </c>
      <c r="B114" s="3">
        <v>15</v>
      </c>
      <c r="C114" s="3">
        <v>0</v>
      </c>
      <c r="D114" s="3">
        <v>30</v>
      </c>
      <c r="E114" s="3">
        <v>37</v>
      </c>
      <c r="F114" s="3">
        <v>83</v>
      </c>
      <c r="G114" s="3">
        <v>53</v>
      </c>
      <c r="H114" s="3">
        <v>23</v>
      </c>
      <c r="I114" s="3">
        <v>16</v>
      </c>
      <c r="J114" s="3">
        <v>55</v>
      </c>
      <c r="K114" s="3">
        <v>70</v>
      </c>
      <c r="L114" s="3">
        <v>80</v>
      </c>
      <c r="M114" s="3">
        <v>55</v>
      </c>
      <c r="N114" s="3">
        <v>62</v>
      </c>
      <c r="O114" s="3">
        <v>46</v>
      </c>
      <c r="P114" s="3">
        <v>73</v>
      </c>
      <c r="Q114" s="3">
        <v>49</v>
      </c>
    </row>
    <row r="115" spans="1:17">
      <c r="A115" s="3" t="s">
        <v>143</v>
      </c>
      <c r="B115" s="3">
        <v>58</v>
      </c>
      <c r="C115" s="3">
        <v>56</v>
      </c>
      <c r="D115" s="3">
        <v>94</v>
      </c>
      <c r="E115" s="3">
        <v>67</v>
      </c>
      <c r="F115" s="3">
        <v>77</v>
      </c>
      <c r="G115" s="3">
        <v>79</v>
      </c>
      <c r="H115" s="3">
        <v>42</v>
      </c>
      <c r="I115" s="3">
        <v>16</v>
      </c>
      <c r="J115" s="3">
        <v>11</v>
      </c>
      <c r="K115" s="3">
        <v>14</v>
      </c>
      <c r="L115" s="3">
        <v>10</v>
      </c>
      <c r="M115" s="3">
        <v>37</v>
      </c>
      <c r="N115" s="3">
        <v>52</v>
      </c>
      <c r="O115" s="3">
        <v>39</v>
      </c>
      <c r="P115" s="3">
        <v>37</v>
      </c>
      <c r="Q115" s="3">
        <v>52</v>
      </c>
    </row>
    <row r="116" spans="1:17">
      <c r="A116" s="3" t="s">
        <v>144</v>
      </c>
      <c r="B116" s="3">
        <v>39</v>
      </c>
      <c r="C116" s="3">
        <v>0</v>
      </c>
      <c r="D116" s="3">
        <v>76</v>
      </c>
      <c r="E116" s="3">
        <v>37</v>
      </c>
      <c r="F116" s="3">
        <v>95</v>
      </c>
      <c r="G116" s="3">
        <v>65</v>
      </c>
      <c r="H116" s="3">
        <v>0</v>
      </c>
      <c r="I116" s="3">
        <v>0</v>
      </c>
      <c r="J116" s="3">
        <v>40</v>
      </c>
      <c r="K116" s="3">
        <v>46</v>
      </c>
      <c r="L116" s="3">
        <v>85</v>
      </c>
      <c r="M116" s="3">
        <v>0</v>
      </c>
      <c r="N116" s="3">
        <v>47</v>
      </c>
      <c r="O116" s="3">
        <v>44</v>
      </c>
      <c r="P116" s="3">
        <v>105</v>
      </c>
      <c r="Q116" s="3">
        <v>51</v>
      </c>
    </row>
    <row r="117" spans="1:17">
      <c r="A117" s="3" t="s">
        <v>145</v>
      </c>
      <c r="B117" s="3">
        <v>88</v>
      </c>
      <c r="C117" s="3">
        <v>48</v>
      </c>
      <c r="D117" s="3">
        <v>68</v>
      </c>
      <c r="E117" s="3">
        <v>58</v>
      </c>
      <c r="F117" s="3">
        <v>49</v>
      </c>
      <c r="G117" s="3">
        <v>106</v>
      </c>
      <c r="H117" s="3">
        <v>37</v>
      </c>
      <c r="I117" s="3">
        <v>54</v>
      </c>
      <c r="J117" s="3">
        <v>0</v>
      </c>
      <c r="K117" s="3">
        <v>0</v>
      </c>
      <c r="L117" s="3">
        <v>54</v>
      </c>
      <c r="M117" s="3">
        <v>37</v>
      </c>
      <c r="N117" s="3">
        <v>50</v>
      </c>
      <c r="O117" s="3">
        <v>22</v>
      </c>
      <c r="P117" s="3">
        <v>15</v>
      </c>
      <c r="Q117" s="3">
        <v>41</v>
      </c>
    </row>
    <row r="118" spans="1:17">
      <c r="A118" s="3" t="s">
        <v>146</v>
      </c>
      <c r="B118" s="3">
        <v>0</v>
      </c>
      <c r="C118" s="3">
        <v>0</v>
      </c>
      <c r="D118" s="3">
        <v>46</v>
      </c>
      <c r="E118" s="3">
        <v>49</v>
      </c>
      <c r="F118" s="3">
        <v>0</v>
      </c>
      <c r="G118" s="3">
        <v>0</v>
      </c>
      <c r="H118" s="3">
        <v>0</v>
      </c>
      <c r="I118" s="3">
        <v>0</v>
      </c>
      <c r="J118" s="3">
        <v>195</v>
      </c>
      <c r="K118" s="3">
        <v>270</v>
      </c>
      <c r="L118" s="3">
        <v>0</v>
      </c>
      <c r="M118" s="3">
        <v>0</v>
      </c>
      <c r="N118" s="3">
        <v>0</v>
      </c>
      <c r="O118" s="3">
        <v>0</v>
      </c>
      <c r="P118" s="3">
        <v>76</v>
      </c>
      <c r="Q118" s="3">
        <v>54</v>
      </c>
    </row>
    <row r="119" spans="1:17">
      <c r="A119" s="3" t="s">
        <v>147</v>
      </c>
      <c r="B119" s="3">
        <v>38</v>
      </c>
      <c r="C119" s="3">
        <v>59</v>
      </c>
      <c r="D119" s="3">
        <v>14</v>
      </c>
      <c r="E119" s="3">
        <v>97</v>
      </c>
      <c r="F119" s="3">
        <v>15</v>
      </c>
      <c r="G119" s="3">
        <v>53</v>
      </c>
      <c r="H119" s="3">
        <v>17</v>
      </c>
      <c r="I119" s="3">
        <v>65</v>
      </c>
      <c r="J119" s="3">
        <v>0</v>
      </c>
      <c r="K119" s="3">
        <v>34</v>
      </c>
      <c r="L119" s="3">
        <v>11</v>
      </c>
      <c r="M119" s="3">
        <v>95</v>
      </c>
      <c r="N119" s="3">
        <v>48</v>
      </c>
      <c r="O119" s="3">
        <v>56</v>
      </c>
      <c r="P119" s="3">
        <v>42</v>
      </c>
      <c r="Q119" s="3">
        <v>35</v>
      </c>
    </row>
    <row r="120" spans="1:17">
      <c r="A120" s="3" t="s">
        <v>148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412</v>
      </c>
      <c r="I120" s="3">
        <v>266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</row>
    <row r="121" spans="1:17">
      <c r="A121" s="3" t="s">
        <v>149</v>
      </c>
      <c r="B121" s="3">
        <v>86</v>
      </c>
      <c r="C121" s="3">
        <v>37</v>
      </c>
      <c r="D121" s="3">
        <v>74</v>
      </c>
      <c r="E121" s="3">
        <v>49</v>
      </c>
      <c r="F121" s="3">
        <v>0</v>
      </c>
      <c r="G121" s="3">
        <v>16</v>
      </c>
      <c r="H121" s="3">
        <v>78</v>
      </c>
      <c r="I121" s="3">
        <v>50</v>
      </c>
      <c r="J121" s="3">
        <v>32</v>
      </c>
      <c r="K121" s="3">
        <v>53</v>
      </c>
      <c r="L121" s="3">
        <v>55</v>
      </c>
      <c r="M121" s="3">
        <v>37</v>
      </c>
      <c r="N121" s="3">
        <v>54</v>
      </c>
      <c r="O121" s="3">
        <v>35</v>
      </c>
      <c r="P121" s="3">
        <v>0</v>
      </c>
      <c r="Q121" s="3">
        <v>20</v>
      </c>
    </row>
    <row r="122" spans="1:17">
      <c r="A122" s="3" t="s">
        <v>150</v>
      </c>
      <c r="B122" s="3">
        <v>0</v>
      </c>
      <c r="C122" s="3">
        <v>0</v>
      </c>
      <c r="D122" s="3">
        <v>0</v>
      </c>
      <c r="E122" s="3">
        <v>21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268</v>
      </c>
      <c r="Q122" s="3">
        <v>380</v>
      </c>
    </row>
    <row r="123" spans="1:17">
      <c r="A123" s="3" t="s">
        <v>151</v>
      </c>
      <c r="B123" s="3">
        <v>41</v>
      </c>
      <c r="C123" s="3">
        <v>14</v>
      </c>
      <c r="D123" s="3">
        <v>109</v>
      </c>
      <c r="E123" s="3">
        <v>46</v>
      </c>
      <c r="F123" s="3">
        <v>37</v>
      </c>
      <c r="G123" s="3">
        <v>29</v>
      </c>
      <c r="H123" s="3">
        <v>55</v>
      </c>
      <c r="I123" s="3">
        <v>42</v>
      </c>
      <c r="J123" s="3">
        <v>0</v>
      </c>
      <c r="K123" s="3">
        <v>0</v>
      </c>
      <c r="L123" s="3">
        <v>46</v>
      </c>
      <c r="M123" s="3">
        <v>20</v>
      </c>
      <c r="N123" s="3">
        <v>61</v>
      </c>
      <c r="O123" s="3">
        <v>41</v>
      </c>
      <c r="P123" s="3">
        <v>76</v>
      </c>
      <c r="Q123" s="3">
        <v>29</v>
      </c>
    </row>
    <row r="124" spans="1:17">
      <c r="A124" s="3" t="s">
        <v>152</v>
      </c>
      <c r="B124" s="3">
        <v>66</v>
      </c>
      <c r="C124" s="3">
        <v>28</v>
      </c>
      <c r="D124" s="3">
        <v>86</v>
      </c>
      <c r="E124" s="3">
        <v>49</v>
      </c>
      <c r="F124" s="3">
        <v>5</v>
      </c>
      <c r="G124" s="3">
        <v>9</v>
      </c>
      <c r="H124" s="3">
        <v>6</v>
      </c>
      <c r="I124" s="3">
        <v>5</v>
      </c>
      <c r="J124" s="3">
        <v>42</v>
      </c>
      <c r="K124" s="3">
        <v>94</v>
      </c>
      <c r="L124" s="3">
        <v>17</v>
      </c>
      <c r="M124" s="3">
        <v>5</v>
      </c>
      <c r="N124" s="3">
        <v>9</v>
      </c>
      <c r="O124" s="3">
        <v>0</v>
      </c>
      <c r="P124" s="3">
        <v>117</v>
      </c>
      <c r="Q124" s="3">
        <v>99</v>
      </c>
    </row>
    <row r="125" spans="1:17">
      <c r="A125" s="3" t="s">
        <v>153</v>
      </c>
      <c r="B125" s="3">
        <v>142</v>
      </c>
      <c r="C125" s="3">
        <v>149</v>
      </c>
      <c r="D125" s="3">
        <v>152</v>
      </c>
      <c r="E125" s="3">
        <v>56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61</v>
      </c>
      <c r="O125" s="3">
        <v>56</v>
      </c>
      <c r="P125" s="3">
        <v>0</v>
      </c>
      <c r="Q125" s="3">
        <v>0</v>
      </c>
    </row>
    <row r="126" spans="1:17">
      <c r="A126" s="3" t="s">
        <v>154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15</v>
      </c>
      <c r="I126" s="3">
        <v>6</v>
      </c>
      <c r="J126" s="3">
        <v>0</v>
      </c>
      <c r="K126" s="3">
        <v>0</v>
      </c>
      <c r="L126" s="3">
        <v>401</v>
      </c>
      <c r="M126" s="3">
        <v>175</v>
      </c>
      <c r="N126" s="3">
        <v>0</v>
      </c>
      <c r="O126" s="3">
        <v>0</v>
      </c>
      <c r="P126" s="3">
        <v>0</v>
      </c>
      <c r="Q126" s="3">
        <v>0</v>
      </c>
    </row>
    <row r="127" spans="1:17">
      <c r="A127" s="3" t="s">
        <v>155</v>
      </c>
      <c r="B127" s="3">
        <v>80</v>
      </c>
      <c r="C127" s="3">
        <v>65</v>
      </c>
      <c r="D127" s="3">
        <v>26</v>
      </c>
      <c r="E127" s="3">
        <v>21</v>
      </c>
      <c r="F127" s="3">
        <v>44</v>
      </c>
      <c r="G127" s="3">
        <v>71</v>
      </c>
      <c r="H127" s="3">
        <v>35</v>
      </c>
      <c r="I127" s="3">
        <v>32</v>
      </c>
      <c r="J127" s="3">
        <v>14</v>
      </c>
      <c r="K127" s="3">
        <v>36</v>
      </c>
      <c r="L127" s="3">
        <v>33</v>
      </c>
      <c r="M127" s="3">
        <v>34</v>
      </c>
      <c r="N127" s="3">
        <v>31</v>
      </c>
      <c r="O127" s="3">
        <v>30</v>
      </c>
      <c r="P127" s="3">
        <v>11</v>
      </c>
      <c r="Q127" s="3">
        <v>29</v>
      </c>
    </row>
    <row r="128" spans="1:17">
      <c r="A128" s="3" t="s">
        <v>156</v>
      </c>
      <c r="B128" s="3">
        <v>86</v>
      </c>
      <c r="C128" s="3">
        <v>65</v>
      </c>
      <c r="D128" s="3">
        <v>47</v>
      </c>
      <c r="E128" s="3">
        <v>61</v>
      </c>
      <c r="F128" s="3">
        <v>31</v>
      </c>
      <c r="G128" s="3">
        <v>59</v>
      </c>
      <c r="H128" s="3">
        <v>31</v>
      </c>
      <c r="I128" s="3">
        <v>35</v>
      </c>
      <c r="J128" s="3">
        <v>0</v>
      </c>
      <c r="K128" s="3">
        <v>44</v>
      </c>
      <c r="L128" s="3">
        <v>0</v>
      </c>
      <c r="M128" s="3">
        <v>33</v>
      </c>
      <c r="N128" s="3">
        <v>19</v>
      </c>
      <c r="O128" s="3">
        <v>22</v>
      </c>
      <c r="P128" s="3">
        <v>16</v>
      </c>
      <c r="Q128" s="3">
        <v>38</v>
      </c>
    </row>
    <row r="129" spans="1:17">
      <c r="A129" s="3" t="s">
        <v>157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47</v>
      </c>
      <c r="I129" s="3">
        <v>61</v>
      </c>
      <c r="J129" s="3">
        <v>0</v>
      </c>
      <c r="K129" s="3">
        <v>0</v>
      </c>
      <c r="L129" s="3">
        <v>65</v>
      </c>
      <c r="M129" s="3">
        <v>165</v>
      </c>
      <c r="N129" s="3">
        <v>0</v>
      </c>
      <c r="O129" s="3">
        <v>0</v>
      </c>
      <c r="P129" s="3">
        <v>67</v>
      </c>
      <c r="Q129" s="3">
        <v>172</v>
      </c>
    </row>
    <row r="130" spans="1:17">
      <c r="A130" s="3" t="s">
        <v>158</v>
      </c>
      <c r="B130" s="3">
        <v>62</v>
      </c>
      <c r="C130" s="3">
        <v>32</v>
      </c>
      <c r="D130" s="3">
        <v>299</v>
      </c>
      <c r="E130" s="3">
        <v>75</v>
      </c>
      <c r="F130" s="3">
        <v>0</v>
      </c>
      <c r="G130" s="3">
        <v>0</v>
      </c>
      <c r="H130" s="3">
        <v>61</v>
      </c>
      <c r="I130" s="3">
        <v>47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</row>
    <row r="131" spans="1:17">
      <c r="A131" s="3" t="s">
        <v>159</v>
      </c>
      <c r="B131" s="3">
        <v>12</v>
      </c>
      <c r="C131" s="3">
        <v>13</v>
      </c>
      <c r="D131" s="3">
        <v>182</v>
      </c>
      <c r="E131" s="3">
        <v>65</v>
      </c>
      <c r="F131" s="3">
        <v>0</v>
      </c>
      <c r="G131" s="3">
        <v>0</v>
      </c>
      <c r="H131" s="3">
        <v>50</v>
      </c>
      <c r="I131" s="3">
        <v>12</v>
      </c>
      <c r="J131" s="3">
        <v>0</v>
      </c>
      <c r="K131" s="3">
        <v>0</v>
      </c>
      <c r="L131" s="3">
        <v>40</v>
      </c>
      <c r="M131" s="3">
        <v>17</v>
      </c>
      <c r="N131" s="3">
        <v>19</v>
      </c>
      <c r="O131" s="3">
        <v>22</v>
      </c>
      <c r="P131" s="3">
        <v>111</v>
      </c>
      <c r="Q131" s="3">
        <v>23</v>
      </c>
    </row>
    <row r="132" spans="1:17">
      <c r="A132" s="3" t="s">
        <v>160</v>
      </c>
      <c r="B132" s="3">
        <v>92</v>
      </c>
      <c r="C132" s="3">
        <v>55</v>
      </c>
      <c r="D132" s="3">
        <v>34</v>
      </c>
      <c r="E132" s="3">
        <v>48</v>
      </c>
      <c r="F132" s="3">
        <v>22</v>
      </c>
      <c r="G132" s="3">
        <v>50</v>
      </c>
      <c r="H132" s="3">
        <v>18</v>
      </c>
      <c r="I132" s="3">
        <v>43</v>
      </c>
      <c r="J132" s="3">
        <v>0</v>
      </c>
      <c r="K132" s="3">
        <v>28</v>
      </c>
      <c r="L132" s="3">
        <v>31</v>
      </c>
      <c r="M132" s="3">
        <v>35</v>
      </c>
      <c r="N132" s="3">
        <v>22</v>
      </c>
      <c r="O132" s="3">
        <v>15</v>
      </c>
      <c r="P132" s="3">
        <v>30</v>
      </c>
      <c r="Q132" s="3">
        <v>32</v>
      </c>
    </row>
    <row r="133" spans="1:17">
      <c r="A133" s="3" t="s">
        <v>161</v>
      </c>
      <c r="B133" s="3">
        <v>0</v>
      </c>
      <c r="C133" s="3">
        <v>0</v>
      </c>
      <c r="D133" s="3">
        <v>174</v>
      </c>
      <c r="E133" s="3">
        <v>57</v>
      </c>
      <c r="F133" s="3">
        <v>40</v>
      </c>
      <c r="G133" s="3">
        <v>0</v>
      </c>
      <c r="H133" s="3">
        <v>41</v>
      </c>
      <c r="I133" s="3">
        <v>39</v>
      </c>
      <c r="J133" s="3">
        <v>0</v>
      </c>
      <c r="K133" s="3">
        <v>0</v>
      </c>
      <c r="L133" s="3">
        <v>46</v>
      </c>
      <c r="M133" s="3">
        <v>0</v>
      </c>
      <c r="N133" s="3">
        <v>56</v>
      </c>
      <c r="O133" s="3">
        <v>38</v>
      </c>
      <c r="P133" s="3">
        <v>61</v>
      </c>
      <c r="Q133" s="3">
        <v>0</v>
      </c>
    </row>
    <row r="134" spans="1:17">
      <c r="A134" s="3" t="s">
        <v>162</v>
      </c>
      <c r="B134" s="3">
        <v>32</v>
      </c>
      <c r="C134" s="3">
        <v>24</v>
      </c>
      <c r="D134" s="3">
        <v>66</v>
      </c>
      <c r="E134" s="3">
        <v>37</v>
      </c>
      <c r="F134" s="3">
        <v>48</v>
      </c>
      <c r="G134" s="3">
        <v>41</v>
      </c>
      <c r="H134" s="3">
        <v>37</v>
      </c>
      <c r="I134" s="3">
        <v>21</v>
      </c>
      <c r="J134" s="3">
        <v>25</v>
      </c>
      <c r="K134" s="3">
        <v>31</v>
      </c>
      <c r="L134" s="3">
        <v>14</v>
      </c>
      <c r="M134" s="3">
        <v>63</v>
      </c>
      <c r="N134" s="3">
        <v>51</v>
      </c>
      <c r="O134" s="3">
        <v>43</v>
      </c>
      <c r="P134" s="3">
        <v>7</v>
      </c>
      <c r="Q134" s="3">
        <v>11</v>
      </c>
    </row>
    <row r="135" spans="1:17">
      <c r="A135" s="3" t="s">
        <v>163</v>
      </c>
      <c r="B135" s="3">
        <v>24</v>
      </c>
      <c r="C135" s="3">
        <v>0</v>
      </c>
      <c r="D135" s="3">
        <v>46</v>
      </c>
      <c r="E135" s="3">
        <v>30</v>
      </c>
      <c r="F135" s="3">
        <v>68</v>
      </c>
      <c r="G135" s="3">
        <v>49</v>
      </c>
      <c r="H135" s="3">
        <v>28</v>
      </c>
      <c r="I135" s="3">
        <v>21</v>
      </c>
      <c r="J135" s="3">
        <v>0</v>
      </c>
      <c r="K135" s="3">
        <v>16</v>
      </c>
      <c r="L135" s="3">
        <v>23</v>
      </c>
      <c r="M135" s="3">
        <v>10</v>
      </c>
      <c r="N135" s="3">
        <v>155</v>
      </c>
      <c r="O135" s="3">
        <v>81</v>
      </c>
      <c r="P135" s="3">
        <v>0</v>
      </c>
      <c r="Q135" s="3">
        <v>0</v>
      </c>
    </row>
    <row r="136" spans="1:17">
      <c r="A136" s="3" t="s">
        <v>164</v>
      </c>
      <c r="B136" s="3">
        <v>63</v>
      </c>
      <c r="C136" s="3">
        <v>42</v>
      </c>
      <c r="D136" s="3">
        <v>30</v>
      </c>
      <c r="E136" s="3">
        <v>0</v>
      </c>
      <c r="F136" s="3">
        <v>0</v>
      </c>
      <c r="G136" s="3">
        <v>22</v>
      </c>
      <c r="H136" s="3">
        <v>32</v>
      </c>
      <c r="I136" s="3">
        <v>34</v>
      </c>
      <c r="J136" s="3">
        <v>0</v>
      </c>
      <c r="K136" s="3">
        <v>0</v>
      </c>
      <c r="L136" s="3">
        <v>27</v>
      </c>
      <c r="M136" s="3">
        <v>120</v>
      </c>
      <c r="N136" s="3">
        <v>59</v>
      </c>
      <c r="O136" s="3">
        <v>32</v>
      </c>
      <c r="P136" s="3">
        <v>37</v>
      </c>
      <c r="Q136" s="3">
        <v>31</v>
      </c>
    </row>
    <row r="137" spans="1:17">
      <c r="A137" s="3" t="s">
        <v>165</v>
      </c>
      <c r="B137" s="3">
        <v>59</v>
      </c>
      <c r="C137" s="3">
        <v>38</v>
      </c>
      <c r="D137" s="3">
        <v>90</v>
      </c>
      <c r="E137" s="3">
        <v>36</v>
      </c>
      <c r="F137" s="3">
        <v>28</v>
      </c>
      <c r="G137" s="3">
        <v>28</v>
      </c>
      <c r="H137" s="3">
        <v>16</v>
      </c>
      <c r="I137" s="3">
        <v>11</v>
      </c>
      <c r="J137" s="3">
        <v>0</v>
      </c>
      <c r="K137" s="3">
        <v>7</v>
      </c>
      <c r="L137" s="3">
        <v>78</v>
      </c>
      <c r="M137" s="3">
        <v>29</v>
      </c>
      <c r="N137" s="3">
        <v>34</v>
      </c>
      <c r="O137" s="3">
        <v>25</v>
      </c>
      <c r="P137" s="3">
        <v>19</v>
      </c>
      <c r="Q137" s="3">
        <v>25</v>
      </c>
    </row>
    <row r="138" spans="1:17">
      <c r="A138" s="3" t="s">
        <v>166</v>
      </c>
      <c r="B138" s="3">
        <v>56</v>
      </c>
      <c r="C138" s="3">
        <v>0</v>
      </c>
      <c r="D138" s="3">
        <v>274</v>
      </c>
      <c r="E138" s="3">
        <v>97</v>
      </c>
      <c r="F138" s="3">
        <v>0</v>
      </c>
      <c r="G138" s="3">
        <v>0</v>
      </c>
      <c r="H138" s="3">
        <v>74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</row>
    <row r="139" spans="1:17">
      <c r="A139" s="3" t="s">
        <v>167</v>
      </c>
      <c r="B139" s="3">
        <v>39</v>
      </c>
      <c r="C139" s="3">
        <v>0</v>
      </c>
      <c r="D139" s="3">
        <v>168</v>
      </c>
      <c r="E139" s="3">
        <v>54</v>
      </c>
      <c r="F139" s="3">
        <v>0</v>
      </c>
      <c r="G139" s="3">
        <v>0</v>
      </c>
      <c r="H139" s="3">
        <v>50</v>
      </c>
      <c r="I139" s="3">
        <v>27</v>
      </c>
      <c r="J139" s="3">
        <v>0</v>
      </c>
      <c r="K139" s="3">
        <v>0</v>
      </c>
      <c r="L139" s="3">
        <v>41</v>
      </c>
      <c r="M139" s="3">
        <v>0</v>
      </c>
      <c r="N139" s="3">
        <v>41</v>
      </c>
      <c r="O139" s="3">
        <v>0</v>
      </c>
      <c r="P139" s="3">
        <v>75</v>
      </c>
      <c r="Q139" s="3">
        <v>0</v>
      </c>
    </row>
    <row r="140" spans="1:17">
      <c r="A140" s="3" t="s">
        <v>168</v>
      </c>
      <c r="B140" s="3">
        <v>83</v>
      </c>
      <c r="C140" s="3">
        <v>42</v>
      </c>
      <c r="D140" s="3">
        <v>71</v>
      </c>
      <c r="E140" s="3">
        <v>53</v>
      </c>
      <c r="F140" s="3">
        <v>32</v>
      </c>
      <c r="G140" s="3">
        <v>36</v>
      </c>
      <c r="H140" s="3">
        <v>25</v>
      </c>
      <c r="I140" s="3">
        <v>0</v>
      </c>
      <c r="J140" s="3">
        <v>0</v>
      </c>
      <c r="K140" s="3">
        <v>0</v>
      </c>
      <c r="L140" s="3">
        <v>35</v>
      </c>
      <c r="M140" s="3">
        <v>0</v>
      </c>
      <c r="N140" s="3">
        <v>80</v>
      </c>
      <c r="O140" s="3">
        <v>0</v>
      </c>
      <c r="P140" s="3">
        <v>36</v>
      </c>
      <c r="Q140" s="3">
        <v>0</v>
      </c>
    </row>
    <row r="141" spans="1:17">
      <c r="A141" s="3" t="s">
        <v>169</v>
      </c>
      <c r="B141" s="3">
        <v>112</v>
      </c>
      <c r="C141" s="3">
        <v>67</v>
      </c>
      <c r="D141" s="3">
        <v>140</v>
      </c>
      <c r="E141" s="3">
        <v>132</v>
      </c>
      <c r="F141" s="3">
        <v>29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</row>
    <row r="142" spans="1:17">
      <c r="A142" s="3" t="s">
        <v>170</v>
      </c>
      <c r="B142" s="3">
        <v>18</v>
      </c>
      <c r="C142" s="3">
        <v>12</v>
      </c>
      <c r="D142" s="3">
        <v>82</v>
      </c>
      <c r="E142" s="3">
        <v>21</v>
      </c>
      <c r="F142" s="3">
        <v>13</v>
      </c>
      <c r="G142" s="3">
        <v>17</v>
      </c>
      <c r="H142" s="3">
        <v>60</v>
      </c>
      <c r="I142" s="3">
        <v>52</v>
      </c>
      <c r="J142" s="3">
        <v>0</v>
      </c>
      <c r="K142" s="3">
        <v>0</v>
      </c>
      <c r="L142" s="3">
        <v>37</v>
      </c>
      <c r="M142" s="3">
        <v>78</v>
      </c>
      <c r="N142" s="3">
        <v>50</v>
      </c>
      <c r="O142" s="3">
        <v>33</v>
      </c>
      <c r="P142" s="3">
        <v>0</v>
      </c>
      <c r="Q142" s="3">
        <v>5</v>
      </c>
    </row>
    <row r="143" spans="1:17">
      <c r="A143" s="3" t="s">
        <v>171</v>
      </c>
      <c r="B143" s="3">
        <v>27</v>
      </c>
      <c r="C143" s="3">
        <v>12</v>
      </c>
      <c r="D143" s="3">
        <v>56</v>
      </c>
      <c r="E143" s="3">
        <v>52</v>
      </c>
      <c r="F143" s="3">
        <v>28</v>
      </c>
      <c r="G143" s="3">
        <v>26</v>
      </c>
      <c r="H143" s="3">
        <v>26</v>
      </c>
      <c r="I143" s="3">
        <v>12</v>
      </c>
      <c r="J143" s="3">
        <v>3</v>
      </c>
      <c r="K143" s="3">
        <v>35</v>
      </c>
      <c r="L143" s="3">
        <v>24</v>
      </c>
      <c r="M143" s="3">
        <v>17</v>
      </c>
      <c r="N143" s="3">
        <v>46</v>
      </c>
      <c r="O143" s="3">
        <v>18</v>
      </c>
      <c r="P143" s="3">
        <v>56</v>
      </c>
      <c r="Q143" s="3">
        <v>39</v>
      </c>
    </row>
    <row r="144" spans="1:17">
      <c r="A144" s="3" t="s">
        <v>172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78</v>
      </c>
      <c r="K144" s="3">
        <v>0</v>
      </c>
      <c r="L144" s="3">
        <v>15</v>
      </c>
      <c r="M144" s="3">
        <v>29</v>
      </c>
      <c r="N144" s="3">
        <v>48</v>
      </c>
      <c r="O144" s="3">
        <v>22</v>
      </c>
      <c r="P144" s="3">
        <v>242</v>
      </c>
      <c r="Q144" s="3">
        <v>30</v>
      </c>
    </row>
    <row r="145" spans="1:17">
      <c r="A145" s="3" t="s">
        <v>173</v>
      </c>
      <c r="B145" s="3">
        <v>47</v>
      </c>
      <c r="C145" s="3">
        <v>32</v>
      </c>
      <c r="D145" s="3">
        <v>42</v>
      </c>
      <c r="E145" s="3">
        <v>35</v>
      </c>
      <c r="F145" s="3">
        <v>0</v>
      </c>
      <c r="G145" s="3">
        <v>16</v>
      </c>
      <c r="H145" s="3">
        <v>60</v>
      </c>
      <c r="I145" s="3">
        <v>34</v>
      </c>
      <c r="J145" s="3">
        <v>54</v>
      </c>
      <c r="K145" s="3">
        <v>76</v>
      </c>
      <c r="L145" s="3">
        <v>21</v>
      </c>
      <c r="M145" s="3">
        <v>21</v>
      </c>
      <c r="N145" s="3">
        <v>14</v>
      </c>
      <c r="O145" s="3">
        <v>0</v>
      </c>
      <c r="P145" s="3">
        <v>10</v>
      </c>
      <c r="Q145" s="3">
        <v>0</v>
      </c>
    </row>
    <row r="146" spans="1:17">
      <c r="A146" s="3" t="s">
        <v>174</v>
      </c>
      <c r="B146" s="3">
        <v>50</v>
      </c>
      <c r="C146" s="3">
        <v>23</v>
      </c>
      <c r="D146" s="3">
        <v>47</v>
      </c>
      <c r="E146" s="3">
        <v>42</v>
      </c>
      <c r="F146" s="3">
        <v>0</v>
      </c>
      <c r="G146" s="3">
        <v>12</v>
      </c>
      <c r="H146" s="3">
        <v>43</v>
      </c>
      <c r="I146" s="3">
        <v>50</v>
      </c>
      <c r="J146" s="3">
        <v>0</v>
      </c>
      <c r="K146" s="3">
        <v>0</v>
      </c>
      <c r="L146" s="3">
        <v>44</v>
      </c>
      <c r="M146" s="3">
        <v>19</v>
      </c>
      <c r="N146" s="3">
        <v>33</v>
      </c>
      <c r="O146" s="3">
        <v>0</v>
      </c>
      <c r="P146" s="3">
        <v>36</v>
      </c>
      <c r="Q146" s="3">
        <v>41</v>
      </c>
    </row>
    <row r="147" spans="1:17">
      <c r="A147" s="3" t="s">
        <v>175</v>
      </c>
      <c r="B147" s="3">
        <v>20</v>
      </c>
      <c r="C147" s="3">
        <v>21</v>
      </c>
      <c r="D147" s="3">
        <v>12</v>
      </c>
      <c r="E147" s="3">
        <v>21</v>
      </c>
      <c r="F147" s="3">
        <v>56</v>
      </c>
      <c r="G147" s="3">
        <v>107</v>
      </c>
      <c r="H147" s="3">
        <v>41</v>
      </c>
      <c r="I147" s="3">
        <v>0</v>
      </c>
      <c r="J147" s="3">
        <v>0</v>
      </c>
      <c r="K147" s="3">
        <v>24</v>
      </c>
      <c r="L147" s="3">
        <v>22</v>
      </c>
      <c r="M147" s="3">
        <v>32</v>
      </c>
      <c r="N147" s="3">
        <v>15</v>
      </c>
      <c r="O147" s="3">
        <v>10</v>
      </c>
      <c r="P147" s="3">
        <v>22</v>
      </c>
      <c r="Q147" s="3">
        <v>29</v>
      </c>
    </row>
    <row r="148" spans="1:17">
      <c r="A148" s="3" t="s">
        <v>176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69</v>
      </c>
      <c r="L148" s="3">
        <v>155</v>
      </c>
      <c r="M148" s="3">
        <v>207</v>
      </c>
      <c r="N148" s="3">
        <v>0</v>
      </c>
      <c r="O148" s="3">
        <v>0</v>
      </c>
      <c r="P148" s="3">
        <v>0</v>
      </c>
      <c r="Q148" s="3">
        <v>0</v>
      </c>
    </row>
    <row r="149" spans="1:17">
      <c r="A149" s="3" t="s">
        <v>177</v>
      </c>
      <c r="B149" s="3">
        <v>43</v>
      </c>
      <c r="C149" s="3">
        <v>37</v>
      </c>
      <c r="D149" s="3">
        <v>0</v>
      </c>
      <c r="E149" s="3">
        <v>0</v>
      </c>
      <c r="F149" s="3">
        <v>0</v>
      </c>
      <c r="G149" s="3">
        <v>0</v>
      </c>
      <c r="H149" s="3">
        <v>36</v>
      </c>
      <c r="I149" s="3">
        <v>0</v>
      </c>
      <c r="J149" s="3">
        <v>0</v>
      </c>
      <c r="K149" s="3">
        <v>0</v>
      </c>
      <c r="L149" s="3">
        <v>74</v>
      </c>
      <c r="M149" s="3">
        <v>65</v>
      </c>
      <c r="N149" s="3">
        <v>0</v>
      </c>
      <c r="O149" s="3">
        <v>50</v>
      </c>
      <c r="P149" s="3">
        <v>68</v>
      </c>
      <c r="Q149" s="3">
        <v>57</v>
      </c>
    </row>
    <row r="150" spans="1:17">
      <c r="A150" s="3" t="s">
        <v>178</v>
      </c>
      <c r="B150" s="3">
        <v>20</v>
      </c>
      <c r="C150" s="3">
        <v>10</v>
      </c>
      <c r="D150" s="3">
        <v>64</v>
      </c>
      <c r="E150" s="3">
        <v>31</v>
      </c>
      <c r="F150" s="3">
        <v>0</v>
      </c>
      <c r="G150" s="3">
        <v>0</v>
      </c>
      <c r="H150" s="3">
        <v>57</v>
      </c>
      <c r="I150" s="3">
        <v>30</v>
      </c>
      <c r="J150" s="3">
        <v>19</v>
      </c>
      <c r="K150" s="3">
        <v>20</v>
      </c>
      <c r="L150" s="3">
        <v>53</v>
      </c>
      <c r="M150" s="3">
        <v>22</v>
      </c>
      <c r="N150" s="3">
        <v>47</v>
      </c>
      <c r="O150" s="3">
        <v>14</v>
      </c>
      <c r="P150" s="3">
        <v>17</v>
      </c>
      <c r="Q150" s="3">
        <v>21</v>
      </c>
    </row>
    <row r="151" spans="1:17">
      <c r="A151" s="3" t="s">
        <v>179</v>
      </c>
      <c r="B151" s="3">
        <v>127</v>
      </c>
      <c r="C151" s="3">
        <v>50</v>
      </c>
      <c r="D151" s="3">
        <v>129</v>
      </c>
      <c r="E151" s="3">
        <v>116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</row>
    <row r="152" spans="1:17">
      <c r="A152" s="3" t="s">
        <v>180</v>
      </c>
      <c r="B152" s="3">
        <v>18</v>
      </c>
      <c r="C152" s="3">
        <v>12</v>
      </c>
      <c r="D152" s="3">
        <v>25</v>
      </c>
      <c r="E152" s="3">
        <v>54</v>
      </c>
      <c r="F152" s="3">
        <v>0</v>
      </c>
      <c r="G152" s="3">
        <v>33</v>
      </c>
      <c r="H152" s="3">
        <v>24</v>
      </c>
      <c r="I152" s="3">
        <v>18</v>
      </c>
      <c r="J152" s="3">
        <v>0</v>
      </c>
      <c r="K152" s="3">
        <v>28</v>
      </c>
      <c r="L152" s="3">
        <v>52</v>
      </c>
      <c r="M152" s="3">
        <v>58</v>
      </c>
      <c r="N152" s="3">
        <v>33</v>
      </c>
      <c r="O152" s="3">
        <v>0</v>
      </c>
      <c r="P152" s="3">
        <v>21</v>
      </c>
      <c r="Q152" s="3">
        <v>25</v>
      </c>
    </row>
    <row r="153" spans="1:17">
      <c r="A153" s="3" t="s">
        <v>181</v>
      </c>
      <c r="B153" s="3">
        <v>45</v>
      </c>
      <c r="C153" s="3">
        <v>20</v>
      </c>
      <c r="D153" s="3">
        <v>0</v>
      </c>
      <c r="E153" s="3">
        <v>0</v>
      </c>
      <c r="F153" s="3">
        <v>0</v>
      </c>
      <c r="G153" s="3">
        <v>0</v>
      </c>
      <c r="H153" s="3">
        <v>108</v>
      </c>
      <c r="I153" s="3">
        <v>61</v>
      </c>
      <c r="J153" s="3">
        <v>0</v>
      </c>
      <c r="K153" s="3">
        <v>0</v>
      </c>
      <c r="L153" s="3">
        <v>74</v>
      </c>
      <c r="M153" s="3">
        <v>35</v>
      </c>
      <c r="N153" s="3">
        <v>20</v>
      </c>
      <c r="O153" s="3">
        <v>33</v>
      </c>
      <c r="P153" s="3">
        <v>0</v>
      </c>
      <c r="Q153" s="3">
        <v>0</v>
      </c>
    </row>
    <row r="154" spans="1:17">
      <c r="A154" s="3" t="s">
        <v>182</v>
      </c>
      <c r="B154" s="3">
        <v>29</v>
      </c>
      <c r="C154" s="3">
        <v>21</v>
      </c>
      <c r="D154" s="3">
        <v>35</v>
      </c>
      <c r="E154" s="3">
        <v>30</v>
      </c>
      <c r="F154" s="3">
        <v>30</v>
      </c>
      <c r="G154" s="3">
        <v>48</v>
      </c>
      <c r="H154" s="3">
        <v>26</v>
      </c>
      <c r="I154" s="3">
        <v>19</v>
      </c>
      <c r="J154" s="3">
        <v>0</v>
      </c>
      <c r="K154" s="3">
        <v>18</v>
      </c>
      <c r="L154" s="3">
        <v>22</v>
      </c>
      <c r="M154" s="3">
        <v>42</v>
      </c>
      <c r="N154" s="3">
        <v>30</v>
      </c>
      <c r="O154" s="3">
        <v>35</v>
      </c>
      <c r="P154" s="3">
        <v>8</v>
      </c>
      <c r="Q154" s="3">
        <v>0</v>
      </c>
    </row>
    <row r="155" spans="1:17">
      <c r="A155" s="3" t="s">
        <v>183</v>
      </c>
      <c r="B155" s="3">
        <v>0</v>
      </c>
      <c r="C155" s="3">
        <v>0</v>
      </c>
      <c r="D155" s="3">
        <v>63</v>
      </c>
      <c r="E155" s="3">
        <v>62</v>
      </c>
      <c r="F155" s="3">
        <v>37</v>
      </c>
      <c r="G155" s="3">
        <v>0</v>
      </c>
      <c r="H155" s="3">
        <v>0</v>
      </c>
      <c r="I155" s="3">
        <v>0</v>
      </c>
      <c r="J155" s="3">
        <v>29</v>
      </c>
      <c r="K155" s="3">
        <v>60</v>
      </c>
      <c r="L155" s="3">
        <v>0</v>
      </c>
      <c r="M155" s="3">
        <v>0</v>
      </c>
      <c r="N155" s="3">
        <v>0</v>
      </c>
      <c r="O155" s="3">
        <v>0</v>
      </c>
      <c r="P155" s="3">
        <v>77</v>
      </c>
      <c r="Q155" s="3">
        <v>61</v>
      </c>
    </row>
    <row r="156" spans="1:17">
      <c r="A156" s="3" t="s">
        <v>184</v>
      </c>
      <c r="B156" s="3">
        <v>0</v>
      </c>
      <c r="C156" s="3">
        <v>0</v>
      </c>
      <c r="D156" s="3">
        <v>47</v>
      </c>
      <c r="E156" s="3">
        <v>25</v>
      </c>
      <c r="F156" s="3">
        <v>11</v>
      </c>
      <c r="G156" s="3">
        <v>51</v>
      </c>
      <c r="H156" s="3">
        <v>22</v>
      </c>
      <c r="I156" s="3">
        <v>24</v>
      </c>
      <c r="J156" s="3">
        <v>0</v>
      </c>
      <c r="K156" s="3">
        <v>0</v>
      </c>
      <c r="L156" s="3">
        <v>112</v>
      </c>
      <c r="M156" s="3">
        <v>68</v>
      </c>
      <c r="N156" s="3">
        <v>0</v>
      </c>
      <c r="O156" s="3">
        <v>0</v>
      </c>
      <c r="P156" s="3">
        <v>19</v>
      </c>
      <c r="Q156" s="3">
        <v>8</v>
      </c>
    </row>
    <row r="157" spans="1:17">
      <c r="A157" s="3" t="s">
        <v>185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13</v>
      </c>
      <c r="K157" s="3">
        <v>70</v>
      </c>
      <c r="L157" s="3">
        <v>77</v>
      </c>
      <c r="M157" s="3">
        <v>190</v>
      </c>
      <c r="N157" s="3">
        <v>15</v>
      </c>
      <c r="O157" s="3">
        <v>14</v>
      </c>
      <c r="P157" s="3">
        <v>0</v>
      </c>
      <c r="Q157" s="3">
        <v>0</v>
      </c>
    </row>
    <row r="158" spans="1:17">
      <c r="A158" s="3" t="s">
        <v>186</v>
      </c>
      <c r="B158" s="3">
        <v>0</v>
      </c>
      <c r="C158" s="3">
        <v>0</v>
      </c>
      <c r="D158" s="3">
        <v>0</v>
      </c>
      <c r="E158" s="3">
        <v>0</v>
      </c>
      <c r="F158" s="3">
        <v>71</v>
      </c>
      <c r="G158" s="3">
        <v>92</v>
      </c>
      <c r="H158" s="3">
        <v>130</v>
      </c>
      <c r="I158" s="3">
        <v>82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</row>
    <row r="159" spans="1:17">
      <c r="A159" s="3" t="s">
        <v>187</v>
      </c>
      <c r="B159" s="3">
        <v>33</v>
      </c>
      <c r="C159" s="3">
        <v>23</v>
      </c>
      <c r="D159" s="3">
        <v>41</v>
      </c>
      <c r="E159" s="3">
        <v>16</v>
      </c>
      <c r="F159" s="3">
        <v>29</v>
      </c>
      <c r="G159" s="3">
        <v>32</v>
      </c>
      <c r="H159" s="3">
        <v>33</v>
      </c>
      <c r="I159" s="3">
        <v>16</v>
      </c>
      <c r="J159" s="3">
        <v>0</v>
      </c>
      <c r="K159" s="3">
        <v>0</v>
      </c>
      <c r="L159" s="3">
        <v>0</v>
      </c>
      <c r="M159" s="3">
        <v>42</v>
      </c>
      <c r="N159" s="3">
        <v>43</v>
      </c>
      <c r="O159" s="3">
        <v>23</v>
      </c>
      <c r="P159" s="3">
        <v>11</v>
      </c>
      <c r="Q159" s="3">
        <v>31</v>
      </c>
    </row>
    <row r="160" spans="1:17">
      <c r="A160" s="3" t="s">
        <v>188</v>
      </c>
      <c r="B160" s="3">
        <v>20</v>
      </c>
      <c r="C160" s="3">
        <v>19</v>
      </c>
      <c r="D160" s="3">
        <v>26</v>
      </c>
      <c r="E160" s="3">
        <v>52</v>
      </c>
      <c r="F160" s="3">
        <v>42</v>
      </c>
      <c r="G160" s="3">
        <v>58</v>
      </c>
      <c r="H160" s="3">
        <v>33</v>
      </c>
      <c r="I160" s="3">
        <v>35</v>
      </c>
      <c r="J160" s="3">
        <v>0</v>
      </c>
      <c r="K160" s="3">
        <v>0</v>
      </c>
      <c r="L160" s="3">
        <v>24</v>
      </c>
      <c r="M160" s="3">
        <v>55</v>
      </c>
      <c r="N160" s="3">
        <v>0</v>
      </c>
      <c r="O160" s="3">
        <v>9</v>
      </c>
      <c r="P160" s="3">
        <v>0</v>
      </c>
      <c r="Q160" s="3">
        <v>0</v>
      </c>
    </row>
    <row r="161" spans="1:17">
      <c r="A161" s="3" t="s">
        <v>189</v>
      </c>
      <c r="B161" s="3">
        <v>29</v>
      </c>
      <c r="C161" s="3">
        <v>32</v>
      </c>
      <c r="D161" s="3">
        <v>19</v>
      </c>
      <c r="E161" s="3">
        <v>11</v>
      </c>
      <c r="F161" s="3">
        <v>15</v>
      </c>
      <c r="G161" s="3">
        <v>26</v>
      </c>
      <c r="H161" s="3">
        <v>44</v>
      </c>
      <c r="I161" s="3">
        <v>14</v>
      </c>
      <c r="J161" s="3">
        <v>0</v>
      </c>
      <c r="K161" s="3">
        <v>7</v>
      </c>
      <c r="L161" s="3">
        <v>57</v>
      </c>
      <c r="M161" s="3">
        <v>21</v>
      </c>
      <c r="N161" s="3">
        <v>20</v>
      </c>
      <c r="O161" s="3">
        <v>14</v>
      </c>
      <c r="P161" s="3">
        <v>33</v>
      </c>
      <c r="Q161" s="3">
        <v>30</v>
      </c>
    </row>
    <row r="162" spans="1:17">
      <c r="A162" s="3" t="s">
        <v>190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83</v>
      </c>
      <c r="K162" s="3">
        <v>139</v>
      </c>
      <c r="L162" s="3">
        <v>90</v>
      </c>
      <c r="M162" s="3">
        <v>60</v>
      </c>
      <c r="N162" s="3">
        <v>0</v>
      </c>
      <c r="O162" s="3">
        <v>0</v>
      </c>
      <c r="P162" s="3">
        <v>0</v>
      </c>
      <c r="Q162" s="3">
        <v>0</v>
      </c>
    </row>
    <row r="163" spans="1:17">
      <c r="A163" s="3" t="s">
        <v>191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207</v>
      </c>
      <c r="I163" s="3">
        <v>113</v>
      </c>
      <c r="J163" s="3">
        <v>0</v>
      </c>
      <c r="K163" s="3">
        <v>0</v>
      </c>
      <c r="L163" s="3">
        <v>36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</row>
    <row r="164" spans="1:17">
      <c r="A164" s="3" t="s">
        <v>192</v>
      </c>
      <c r="B164" s="3">
        <v>200</v>
      </c>
      <c r="C164" s="3">
        <v>154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</row>
    <row r="165" spans="1:17">
      <c r="A165" s="3" t="s">
        <v>193</v>
      </c>
      <c r="B165" s="3">
        <v>0</v>
      </c>
      <c r="C165" s="3">
        <v>12</v>
      </c>
      <c r="D165" s="3">
        <v>12</v>
      </c>
      <c r="E165" s="3">
        <v>10</v>
      </c>
      <c r="F165" s="3">
        <v>0</v>
      </c>
      <c r="G165" s="3">
        <v>5</v>
      </c>
      <c r="H165" s="3">
        <v>92</v>
      </c>
      <c r="I165" s="3">
        <v>136</v>
      </c>
      <c r="J165" s="3">
        <v>0</v>
      </c>
      <c r="K165" s="3">
        <v>0</v>
      </c>
      <c r="L165" s="3">
        <v>29</v>
      </c>
      <c r="M165" s="3">
        <v>8</v>
      </c>
      <c r="N165" s="3">
        <v>0</v>
      </c>
      <c r="O165" s="3">
        <v>6</v>
      </c>
      <c r="P165" s="3">
        <v>17</v>
      </c>
      <c r="Q165" s="3">
        <v>21</v>
      </c>
    </row>
    <row r="166" spans="1:17">
      <c r="A166" s="3" t="s">
        <v>194</v>
      </c>
      <c r="B166" s="3">
        <v>75</v>
      </c>
      <c r="C166" s="3">
        <v>50</v>
      </c>
      <c r="D166" s="3">
        <v>33</v>
      </c>
      <c r="E166" s="3">
        <v>0</v>
      </c>
      <c r="F166" s="3">
        <v>39</v>
      </c>
      <c r="G166" s="3">
        <v>0</v>
      </c>
      <c r="H166" s="3">
        <v>29</v>
      </c>
      <c r="I166" s="3">
        <v>38</v>
      </c>
      <c r="J166" s="3">
        <v>38</v>
      </c>
      <c r="K166" s="3">
        <v>32</v>
      </c>
      <c r="L166" s="3">
        <v>9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</row>
    <row r="167" spans="1:17">
      <c r="A167" s="3" t="s">
        <v>195</v>
      </c>
      <c r="B167" s="3">
        <v>21</v>
      </c>
      <c r="C167" s="3">
        <v>23</v>
      </c>
      <c r="D167" s="3">
        <v>40</v>
      </c>
      <c r="E167" s="3">
        <v>22</v>
      </c>
      <c r="F167" s="3">
        <v>0</v>
      </c>
      <c r="G167" s="3">
        <v>19</v>
      </c>
      <c r="H167" s="3">
        <v>15</v>
      </c>
      <c r="I167" s="3">
        <v>10</v>
      </c>
      <c r="J167" s="3">
        <v>21</v>
      </c>
      <c r="K167" s="3">
        <v>10</v>
      </c>
      <c r="L167" s="3">
        <v>53</v>
      </c>
      <c r="M167" s="3">
        <v>21</v>
      </c>
      <c r="N167" s="3">
        <v>30</v>
      </c>
      <c r="O167" s="3">
        <v>14</v>
      </c>
      <c r="P167" s="3">
        <v>19</v>
      </c>
      <c r="Q167" s="3">
        <v>22</v>
      </c>
    </row>
    <row r="168" spans="1:17">
      <c r="A168" s="3" t="s">
        <v>196</v>
      </c>
      <c r="B168" s="3">
        <v>23</v>
      </c>
      <c r="C168" s="3">
        <v>22</v>
      </c>
      <c r="D168" s="3">
        <v>22</v>
      </c>
      <c r="E168" s="3">
        <v>19</v>
      </c>
      <c r="F168" s="3">
        <v>116</v>
      </c>
      <c r="G168" s="3">
        <v>99</v>
      </c>
      <c r="H168" s="3">
        <v>0</v>
      </c>
      <c r="I168" s="3">
        <v>0</v>
      </c>
      <c r="J168" s="3">
        <v>18</v>
      </c>
      <c r="K168" s="3">
        <v>20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</row>
    <row r="169" spans="1:17">
      <c r="A169" s="3" t="s">
        <v>197</v>
      </c>
      <c r="B169" s="3">
        <v>0</v>
      </c>
      <c r="C169" s="3">
        <v>0</v>
      </c>
      <c r="D169" s="3">
        <v>56</v>
      </c>
      <c r="E169" s="3">
        <v>37</v>
      </c>
      <c r="F169" s="3">
        <v>0</v>
      </c>
      <c r="G169" s="3">
        <v>0</v>
      </c>
      <c r="H169" s="3">
        <v>0</v>
      </c>
      <c r="I169" s="3">
        <v>0</v>
      </c>
      <c r="J169" s="3">
        <v>108</v>
      </c>
      <c r="K169" s="3">
        <v>23</v>
      </c>
      <c r="L169" s="3">
        <v>13</v>
      </c>
      <c r="M169" s="3">
        <v>14</v>
      </c>
      <c r="N169" s="3">
        <v>53</v>
      </c>
      <c r="O169" s="3">
        <v>34</v>
      </c>
      <c r="P169" s="3">
        <v>0</v>
      </c>
      <c r="Q169" s="3">
        <v>0</v>
      </c>
    </row>
    <row r="170" spans="1:17">
      <c r="A170" s="3" t="s">
        <v>198</v>
      </c>
      <c r="B170" s="3">
        <v>38</v>
      </c>
      <c r="C170" s="3">
        <v>31</v>
      </c>
      <c r="D170" s="3">
        <v>0</v>
      </c>
      <c r="E170" s="3">
        <v>0</v>
      </c>
      <c r="F170" s="3">
        <v>0</v>
      </c>
      <c r="G170" s="3">
        <v>0</v>
      </c>
      <c r="H170" s="3">
        <v>28</v>
      </c>
      <c r="I170" s="3">
        <v>0</v>
      </c>
      <c r="J170" s="3">
        <v>0</v>
      </c>
      <c r="K170" s="3">
        <v>0</v>
      </c>
      <c r="L170" s="3">
        <v>62</v>
      </c>
      <c r="M170" s="3">
        <v>74</v>
      </c>
      <c r="N170" s="3">
        <v>31</v>
      </c>
      <c r="O170" s="3">
        <v>26</v>
      </c>
      <c r="P170" s="3">
        <v>21</v>
      </c>
      <c r="Q170" s="3">
        <v>25</v>
      </c>
    </row>
    <row r="171" spans="1:17">
      <c r="A171" s="3" t="s">
        <v>199</v>
      </c>
      <c r="B171" s="3">
        <v>11</v>
      </c>
      <c r="C171" s="3">
        <v>11</v>
      </c>
      <c r="D171" s="3">
        <v>0</v>
      </c>
      <c r="E171" s="3">
        <v>0</v>
      </c>
      <c r="F171" s="3">
        <v>6</v>
      </c>
      <c r="G171" s="3">
        <v>0</v>
      </c>
      <c r="H171" s="3">
        <v>26</v>
      </c>
      <c r="I171" s="3">
        <v>28</v>
      </c>
      <c r="J171" s="3">
        <v>41</v>
      </c>
      <c r="K171" s="3">
        <v>14</v>
      </c>
      <c r="L171" s="3">
        <v>81</v>
      </c>
      <c r="M171" s="3">
        <v>22</v>
      </c>
      <c r="N171" s="3">
        <v>41</v>
      </c>
      <c r="O171" s="3">
        <v>35</v>
      </c>
      <c r="P171" s="3">
        <v>9</v>
      </c>
      <c r="Q171" s="3">
        <v>10</v>
      </c>
    </row>
    <row r="172" spans="1:17">
      <c r="A172" s="3" t="s">
        <v>200</v>
      </c>
      <c r="B172" s="3">
        <v>76</v>
      </c>
      <c r="C172" s="3">
        <v>57</v>
      </c>
      <c r="D172" s="3">
        <v>46</v>
      </c>
      <c r="E172" s="3">
        <v>36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48</v>
      </c>
      <c r="M172" s="3">
        <v>0</v>
      </c>
      <c r="N172" s="3">
        <v>68</v>
      </c>
      <c r="O172" s="3">
        <v>0</v>
      </c>
      <c r="P172" s="3">
        <v>0</v>
      </c>
      <c r="Q172" s="3">
        <v>0</v>
      </c>
    </row>
    <row r="173" spans="1:17">
      <c r="A173" s="3" t="s">
        <v>201</v>
      </c>
      <c r="B173" s="3">
        <v>23</v>
      </c>
      <c r="C173" s="3">
        <v>14</v>
      </c>
      <c r="D173" s="3">
        <v>37</v>
      </c>
      <c r="E173" s="3">
        <v>10</v>
      </c>
      <c r="F173" s="3">
        <v>24</v>
      </c>
      <c r="G173" s="3">
        <v>46</v>
      </c>
      <c r="H173" s="3">
        <v>15</v>
      </c>
      <c r="I173" s="3">
        <v>13</v>
      </c>
      <c r="J173" s="3">
        <v>6</v>
      </c>
      <c r="K173" s="3">
        <v>6</v>
      </c>
      <c r="L173" s="3">
        <v>25</v>
      </c>
      <c r="M173" s="3">
        <v>17</v>
      </c>
      <c r="N173" s="3">
        <v>24</v>
      </c>
      <c r="O173" s="3">
        <v>22</v>
      </c>
      <c r="P173" s="3">
        <v>24</v>
      </c>
      <c r="Q173" s="3">
        <v>23</v>
      </c>
    </row>
    <row r="174" spans="1:17">
      <c r="A174" s="3" t="s">
        <v>202</v>
      </c>
      <c r="B174" s="3">
        <v>33</v>
      </c>
      <c r="C174" s="3">
        <v>19</v>
      </c>
      <c r="D174" s="3">
        <v>33</v>
      </c>
      <c r="E174" s="3">
        <v>37</v>
      </c>
      <c r="F174" s="3">
        <v>33</v>
      </c>
      <c r="G174" s="3">
        <v>48</v>
      </c>
      <c r="H174" s="3">
        <v>10</v>
      </c>
      <c r="I174" s="3">
        <v>25</v>
      </c>
      <c r="J174" s="3">
        <v>0</v>
      </c>
      <c r="K174" s="3">
        <v>0</v>
      </c>
      <c r="L174" s="3">
        <v>32</v>
      </c>
      <c r="M174" s="3">
        <v>22</v>
      </c>
      <c r="N174" s="3">
        <v>14</v>
      </c>
      <c r="O174" s="3">
        <v>0</v>
      </c>
      <c r="P174" s="3">
        <v>0</v>
      </c>
      <c r="Q174" s="3">
        <v>21</v>
      </c>
    </row>
    <row r="175" spans="1:17">
      <c r="A175" s="3" t="s">
        <v>203</v>
      </c>
      <c r="B175" s="3">
        <v>0</v>
      </c>
      <c r="C175" s="3">
        <v>0</v>
      </c>
      <c r="D175" s="3">
        <v>50</v>
      </c>
      <c r="E175" s="3">
        <v>63</v>
      </c>
      <c r="F175" s="3">
        <v>98</v>
      </c>
      <c r="G175" s="3">
        <v>112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</row>
    <row r="176" spans="1:17">
      <c r="A176" s="3" t="s">
        <v>204</v>
      </c>
      <c r="B176" s="3">
        <v>63</v>
      </c>
      <c r="C176" s="3">
        <v>0</v>
      </c>
      <c r="D176" s="3">
        <v>69</v>
      </c>
      <c r="E176" s="3">
        <v>0</v>
      </c>
      <c r="F176" s="3">
        <v>46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47</v>
      </c>
      <c r="N176" s="3">
        <v>0</v>
      </c>
      <c r="O176" s="3">
        <v>0</v>
      </c>
      <c r="P176" s="3">
        <v>47</v>
      </c>
      <c r="Q176" s="3">
        <v>50</v>
      </c>
    </row>
    <row r="177" spans="1:17">
      <c r="A177" s="3" t="s">
        <v>205</v>
      </c>
      <c r="B177" s="3">
        <v>185</v>
      </c>
      <c r="C177" s="3">
        <v>135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</row>
    <row r="178" spans="1:17">
      <c r="A178" s="3" t="s">
        <v>206</v>
      </c>
      <c r="B178" s="3">
        <v>0</v>
      </c>
      <c r="C178" s="3">
        <v>0</v>
      </c>
      <c r="D178" s="3">
        <v>0</v>
      </c>
      <c r="E178" s="3">
        <v>0</v>
      </c>
      <c r="F178" s="3">
        <v>31</v>
      </c>
      <c r="G178" s="3">
        <v>24</v>
      </c>
      <c r="H178" s="3">
        <v>57</v>
      </c>
      <c r="I178" s="3">
        <v>18</v>
      </c>
      <c r="J178" s="3">
        <v>31</v>
      </c>
      <c r="K178" s="3">
        <v>32</v>
      </c>
      <c r="L178" s="3">
        <v>0</v>
      </c>
      <c r="M178" s="3">
        <v>44</v>
      </c>
      <c r="N178" s="3">
        <v>44</v>
      </c>
      <c r="O178" s="3">
        <v>39</v>
      </c>
      <c r="P178" s="3">
        <v>0</v>
      </c>
      <c r="Q178" s="3">
        <v>0</v>
      </c>
    </row>
    <row r="179" spans="1:17">
      <c r="A179" s="3" t="s">
        <v>207</v>
      </c>
      <c r="B179" s="3">
        <v>39</v>
      </c>
      <c r="C179" s="3">
        <v>20</v>
      </c>
      <c r="D179" s="3">
        <v>60</v>
      </c>
      <c r="E179" s="3">
        <v>15</v>
      </c>
      <c r="F179" s="3">
        <v>39</v>
      </c>
      <c r="G179" s="3">
        <v>53</v>
      </c>
      <c r="H179" s="3">
        <v>36</v>
      </c>
      <c r="I179" s="3">
        <v>54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</row>
    <row r="180" spans="1:17">
      <c r="A180" s="3" t="s">
        <v>208</v>
      </c>
      <c r="B180" s="3">
        <v>96</v>
      </c>
      <c r="C180" s="3">
        <v>0</v>
      </c>
      <c r="D180" s="3">
        <v>92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77</v>
      </c>
      <c r="M180" s="3">
        <v>0</v>
      </c>
      <c r="N180" s="3">
        <v>0</v>
      </c>
      <c r="O180" s="3">
        <v>0</v>
      </c>
      <c r="P180" s="3">
        <v>48</v>
      </c>
      <c r="Q180" s="3">
        <v>0</v>
      </c>
    </row>
    <row r="181" spans="1:17">
      <c r="A181" s="3" t="s">
        <v>209</v>
      </c>
      <c r="B181" s="3">
        <v>0</v>
      </c>
      <c r="C181" s="3">
        <v>0</v>
      </c>
      <c r="D181" s="3">
        <v>0</v>
      </c>
      <c r="E181" s="3">
        <v>0</v>
      </c>
      <c r="F181" s="3">
        <v>71</v>
      </c>
      <c r="G181" s="3">
        <v>73</v>
      </c>
      <c r="H181" s="3">
        <v>0</v>
      </c>
      <c r="I181" s="3">
        <v>0</v>
      </c>
      <c r="J181" s="3">
        <v>0</v>
      </c>
      <c r="K181" s="3">
        <v>0</v>
      </c>
      <c r="L181" s="3">
        <v>65</v>
      </c>
      <c r="M181" s="3">
        <v>102</v>
      </c>
      <c r="N181" s="3">
        <v>0</v>
      </c>
      <c r="O181" s="3">
        <v>0</v>
      </c>
      <c r="P181" s="3">
        <v>0</v>
      </c>
      <c r="Q181" s="3">
        <v>0</v>
      </c>
    </row>
    <row r="182" spans="1:17">
      <c r="A182" s="3" t="s">
        <v>210</v>
      </c>
      <c r="B182" s="3">
        <v>20</v>
      </c>
      <c r="C182" s="3">
        <v>29</v>
      </c>
      <c r="D182" s="3">
        <v>97</v>
      </c>
      <c r="E182" s="3">
        <v>78</v>
      </c>
      <c r="F182" s="3">
        <v>0</v>
      </c>
      <c r="G182" s="3">
        <v>0</v>
      </c>
      <c r="H182" s="3">
        <v>30</v>
      </c>
      <c r="I182" s="3">
        <v>23</v>
      </c>
      <c r="J182" s="3">
        <v>0</v>
      </c>
      <c r="K182" s="3">
        <v>0</v>
      </c>
      <c r="L182" s="3">
        <v>0</v>
      </c>
      <c r="M182" s="3">
        <v>27</v>
      </c>
      <c r="N182" s="3">
        <v>0</v>
      </c>
      <c r="O182" s="3">
        <v>0</v>
      </c>
      <c r="P182" s="3">
        <v>0</v>
      </c>
      <c r="Q182" s="3">
        <v>0</v>
      </c>
    </row>
    <row r="183" spans="1:17">
      <c r="A183" s="3" t="s">
        <v>211</v>
      </c>
      <c r="B183" s="3">
        <v>42</v>
      </c>
      <c r="C183" s="3">
        <v>34</v>
      </c>
      <c r="D183" s="3">
        <v>57</v>
      </c>
      <c r="E183" s="3">
        <v>34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59</v>
      </c>
      <c r="M183" s="3">
        <v>34</v>
      </c>
      <c r="N183" s="3">
        <v>0</v>
      </c>
      <c r="O183" s="3">
        <v>0</v>
      </c>
      <c r="P183" s="3">
        <v>42</v>
      </c>
      <c r="Q183" s="3">
        <v>0</v>
      </c>
    </row>
    <row r="184" spans="1:17">
      <c r="A184" s="3" t="s">
        <v>212</v>
      </c>
      <c r="B184" s="3">
        <v>0</v>
      </c>
      <c r="C184" s="3">
        <v>0</v>
      </c>
      <c r="D184" s="3">
        <v>0</v>
      </c>
      <c r="E184" s="3">
        <v>0</v>
      </c>
      <c r="F184" s="3">
        <v>44</v>
      </c>
      <c r="G184" s="3">
        <v>0</v>
      </c>
      <c r="H184" s="3">
        <v>0</v>
      </c>
      <c r="I184" s="3">
        <v>68</v>
      </c>
      <c r="J184" s="3">
        <v>0</v>
      </c>
      <c r="K184" s="3">
        <v>48</v>
      </c>
      <c r="L184" s="3">
        <v>0</v>
      </c>
      <c r="M184" s="3">
        <v>0</v>
      </c>
      <c r="N184" s="3">
        <v>62</v>
      </c>
      <c r="O184" s="3">
        <v>0</v>
      </c>
      <c r="P184" s="3">
        <v>0</v>
      </c>
      <c r="Q184" s="3">
        <v>76</v>
      </c>
    </row>
    <row r="185" spans="1:17">
      <c r="A185" s="3" t="s">
        <v>213</v>
      </c>
      <c r="B185" s="3">
        <v>26</v>
      </c>
      <c r="C185" s="3">
        <v>18</v>
      </c>
      <c r="D185" s="3">
        <v>33</v>
      </c>
      <c r="E185" s="3">
        <v>20</v>
      </c>
      <c r="F185" s="3">
        <v>12</v>
      </c>
      <c r="G185" s="3">
        <v>13</v>
      </c>
      <c r="H185" s="3">
        <v>27</v>
      </c>
      <c r="I185" s="3">
        <v>0</v>
      </c>
      <c r="J185" s="3">
        <v>0</v>
      </c>
      <c r="K185" s="3">
        <v>12</v>
      </c>
      <c r="L185" s="3">
        <v>35</v>
      </c>
      <c r="M185" s="3">
        <v>14</v>
      </c>
      <c r="N185" s="3">
        <v>41</v>
      </c>
      <c r="O185" s="3">
        <v>13</v>
      </c>
      <c r="P185" s="3">
        <v>17</v>
      </c>
      <c r="Q185" s="3">
        <v>16</v>
      </c>
    </row>
    <row r="186" spans="1:17">
      <c r="A186" s="3" t="s">
        <v>214</v>
      </c>
      <c r="B186" s="3">
        <v>188</v>
      </c>
      <c r="C186" s="3">
        <v>106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</row>
    <row r="187" spans="1:17">
      <c r="A187" s="3" t="s">
        <v>215</v>
      </c>
      <c r="B187" s="3">
        <v>25</v>
      </c>
      <c r="C187" s="3">
        <v>20</v>
      </c>
      <c r="D187" s="3">
        <v>48</v>
      </c>
      <c r="E187" s="3">
        <v>45</v>
      </c>
      <c r="F187" s="3">
        <v>15</v>
      </c>
      <c r="G187" s="3">
        <v>11</v>
      </c>
      <c r="H187" s="3">
        <v>23</v>
      </c>
      <c r="I187" s="3">
        <v>16</v>
      </c>
      <c r="J187" s="3">
        <v>0</v>
      </c>
      <c r="K187" s="3">
        <v>0</v>
      </c>
      <c r="L187" s="3">
        <v>13</v>
      </c>
      <c r="M187" s="3">
        <v>22</v>
      </c>
      <c r="N187" s="3">
        <v>33</v>
      </c>
      <c r="O187" s="3">
        <v>20</v>
      </c>
      <c r="P187" s="3">
        <v>0</v>
      </c>
      <c r="Q187" s="3">
        <v>0</v>
      </c>
    </row>
    <row r="188" spans="1:17">
      <c r="A188" s="3" t="s">
        <v>216</v>
      </c>
      <c r="B188" s="3">
        <v>34</v>
      </c>
      <c r="C188" s="3">
        <v>31</v>
      </c>
      <c r="D188" s="3">
        <v>0</v>
      </c>
      <c r="E188" s="3">
        <v>0</v>
      </c>
      <c r="F188" s="3">
        <v>0</v>
      </c>
      <c r="G188" s="3">
        <v>80</v>
      </c>
      <c r="H188" s="3">
        <v>39</v>
      </c>
      <c r="I188" s="3">
        <v>0</v>
      </c>
      <c r="J188" s="3">
        <v>0</v>
      </c>
      <c r="K188" s="3">
        <v>0</v>
      </c>
      <c r="L188" s="3">
        <v>62</v>
      </c>
      <c r="M188" s="3">
        <v>37</v>
      </c>
      <c r="N188" s="3">
        <v>0</v>
      </c>
      <c r="O188" s="3">
        <v>0</v>
      </c>
      <c r="P188" s="3">
        <v>0</v>
      </c>
      <c r="Q188" s="3">
        <v>0</v>
      </c>
    </row>
    <row r="189" spans="1:17">
      <c r="A189" s="3" t="s">
        <v>217</v>
      </c>
      <c r="B189" s="3">
        <v>31</v>
      </c>
      <c r="C189" s="3">
        <v>74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86</v>
      </c>
      <c r="O189" s="3">
        <v>88</v>
      </c>
      <c r="P189" s="3">
        <v>0</v>
      </c>
      <c r="Q189" s="3">
        <v>0</v>
      </c>
    </row>
    <row r="190" spans="1:17">
      <c r="A190" s="3" t="s">
        <v>218</v>
      </c>
      <c r="B190" s="3">
        <v>43</v>
      </c>
      <c r="C190" s="3">
        <v>34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25</v>
      </c>
      <c r="K190" s="3">
        <v>0</v>
      </c>
      <c r="L190" s="3">
        <v>100</v>
      </c>
      <c r="M190" s="3">
        <v>71</v>
      </c>
      <c r="N190" s="3">
        <v>0</v>
      </c>
      <c r="O190" s="3">
        <v>0</v>
      </c>
      <c r="P190" s="3">
        <v>0</v>
      </c>
      <c r="Q190" s="3">
        <v>0</v>
      </c>
    </row>
    <row r="191" spans="1:17">
      <c r="A191" s="3" t="s">
        <v>219</v>
      </c>
      <c r="B191" s="3">
        <v>37</v>
      </c>
      <c r="C191" s="3">
        <v>21</v>
      </c>
      <c r="D191" s="3">
        <v>50</v>
      </c>
      <c r="E191" s="3">
        <v>71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43</v>
      </c>
      <c r="M191" s="3">
        <v>50</v>
      </c>
      <c r="N191" s="3">
        <v>0</v>
      </c>
      <c r="O191" s="3">
        <v>0</v>
      </c>
      <c r="P191" s="3">
        <v>0</v>
      </c>
      <c r="Q191" s="3">
        <v>0</v>
      </c>
    </row>
    <row r="192" spans="1:17">
      <c r="A192" s="3" t="s">
        <v>220</v>
      </c>
      <c r="B192" s="3">
        <v>12</v>
      </c>
      <c r="C192" s="3">
        <v>7</v>
      </c>
      <c r="D192" s="3">
        <v>9</v>
      </c>
      <c r="E192" s="3">
        <v>6</v>
      </c>
      <c r="F192" s="3">
        <v>25</v>
      </c>
      <c r="G192" s="3">
        <v>20</v>
      </c>
      <c r="H192" s="3">
        <v>22</v>
      </c>
      <c r="I192" s="3">
        <v>13</v>
      </c>
      <c r="J192" s="3">
        <v>0</v>
      </c>
      <c r="K192" s="3">
        <v>25</v>
      </c>
      <c r="L192" s="3">
        <v>7</v>
      </c>
      <c r="M192" s="3">
        <v>6</v>
      </c>
      <c r="N192" s="3">
        <v>37</v>
      </c>
      <c r="O192" s="3">
        <v>38</v>
      </c>
      <c r="P192" s="3">
        <v>10</v>
      </c>
      <c r="Q192" s="3">
        <v>16</v>
      </c>
    </row>
    <row r="193" spans="1:17">
      <c r="A193" s="3" t="s">
        <v>221</v>
      </c>
      <c r="B193" s="3">
        <v>33</v>
      </c>
      <c r="C193" s="3">
        <v>15</v>
      </c>
      <c r="D193" s="3">
        <v>32</v>
      </c>
      <c r="E193" s="3">
        <v>27</v>
      </c>
      <c r="F193" s="3">
        <v>0</v>
      </c>
      <c r="G193" s="3">
        <v>26</v>
      </c>
      <c r="H193" s="3">
        <v>10</v>
      </c>
      <c r="I193" s="3">
        <v>12</v>
      </c>
      <c r="J193" s="3">
        <v>0</v>
      </c>
      <c r="K193" s="3">
        <v>7</v>
      </c>
      <c r="L193" s="3">
        <v>17</v>
      </c>
      <c r="M193" s="3">
        <v>4</v>
      </c>
      <c r="N193" s="3">
        <v>26</v>
      </c>
      <c r="O193" s="3">
        <v>13</v>
      </c>
      <c r="P193" s="3">
        <v>20</v>
      </c>
      <c r="Q193" s="3">
        <v>10</v>
      </c>
    </row>
    <row r="194" spans="1:17">
      <c r="A194" s="3" t="s">
        <v>222</v>
      </c>
      <c r="B194" s="3">
        <v>26</v>
      </c>
      <c r="C194" s="3">
        <v>22</v>
      </c>
      <c r="D194" s="3">
        <v>18</v>
      </c>
      <c r="E194" s="3">
        <v>13</v>
      </c>
      <c r="F194" s="3">
        <v>9</v>
      </c>
      <c r="G194" s="3">
        <v>13</v>
      </c>
      <c r="H194" s="3">
        <v>30</v>
      </c>
      <c r="I194" s="3">
        <v>15</v>
      </c>
      <c r="J194" s="3">
        <v>0</v>
      </c>
      <c r="K194" s="3">
        <v>7</v>
      </c>
      <c r="L194" s="3">
        <v>19</v>
      </c>
      <c r="M194" s="3">
        <v>16</v>
      </c>
      <c r="N194" s="3">
        <v>17</v>
      </c>
      <c r="O194" s="3">
        <v>4</v>
      </c>
      <c r="P194" s="3">
        <v>16</v>
      </c>
      <c r="Q194" s="3">
        <v>24</v>
      </c>
    </row>
    <row r="195" spans="1:17">
      <c r="A195" s="3" t="s">
        <v>223</v>
      </c>
      <c r="B195" s="3">
        <v>34</v>
      </c>
      <c r="C195" s="3">
        <v>26</v>
      </c>
      <c r="D195" s="3">
        <v>59</v>
      </c>
      <c r="E195" s="3">
        <v>51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23</v>
      </c>
      <c r="M195" s="3">
        <v>0</v>
      </c>
      <c r="N195" s="3">
        <v>12</v>
      </c>
      <c r="O195" s="3">
        <v>0</v>
      </c>
      <c r="P195" s="3">
        <v>40</v>
      </c>
      <c r="Q195" s="3">
        <v>0</v>
      </c>
    </row>
    <row r="196" spans="1:17">
      <c r="A196" s="3" t="s">
        <v>224</v>
      </c>
      <c r="B196" s="3">
        <v>0</v>
      </c>
      <c r="C196" s="3">
        <v>0</v>
      </c>
      <c r="D196" s="3">
        <v>29</v>
      </c>
      <c r="E196" s="3">
        <v>15</v>
      </c>
      <c r="F196" s="3">
        <v>22</v>
      </c>
      <c r="G196" s="3">
        <v>20</v>
      </c>
      <c r="H196" s="3">
        <v>7</v>
      </c>
      <c r="I196" s="3">
        <v>10</v>
      </c>
      <c r="J196" s="3">
        <v>0</v>
      </c>
      <c r="K196" s="3">
        <v>8</v>
      </c>
      <c r="L196" s="3">
        <v>45</v>
      </c>
      <c r="M196" s="3">
        <v>34</v>
      </c>
      <c r="N196" s="3">
        <v>21</v>
      </c>
      <c r="O196" s="3">
        <v>11</v>
      </c>
      <c r="P196" s="3">
        <v>14</v>
      </c>
      <c r="Q196" s="3">
        <v>9</v>
      </c>
    </row>
    <row r="197" spans="1:17">
      <c r="A197" s="3" t="s">
        <v>225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81</v>
      </c>
      <c r="I197" s="3">
        <v>54</v>
      </c>
      <c r="J197" s="3">
        <v>0</v>
      </c>
      <c r="K197" s="3">
        <v>0</v>
      </c>
      <c r="L197" s="3">
        <v>73</v>
      </c>
      <c r="M197" s="3">
        <v>36</v>
      </c>
      <c r="N197" s="3">
        <v>0</v>
      </c>
      <c r="O197" s="3">
        <v>0</v>
      </c>
      <c r="P197" s="3">
        <v>0</v>
      </c>
      <c r="Q197" s="3">
        <v>0</v>
      </c>
    </row>
    <row r="198" spans="1:17">
      <c r="A198" s="3" t="s">
        <v>226</v>
      </c>
      <c r="B198" s="3">
        <v>0</v>
      </c>
      <c r="C198" s="3">
        <v>14</v>
      </c>
      <c r="D198" s="3">
        <v>12</v>
      </c>
      <c r="E198" s="3">
        <v>61</v>
      </c>
      <c r="F198" s="3">
        <v>13</v>
      </c>
      <c r="G198" s="3">
        <v>18</v>
      </c>
      <c r="H198" s="3">
        <v>5</v>
      </c>
      <c r="I198" s="3">
        <v>13</v>
      </c>
      <c r="J198" s="3">
        <v>0</v>
      </c>
      <c r="K198" s="3">
        <v>17</v>
      </c>
      <c r="L198" s="3">
        <v>4</v>
      </c>
      <c r="M198" s="3">
        <v>36</v>
      </c>
      <c r="N198" s="3">
        <v>5</v>
      </c>
      <c r="O198" s="3">
        <v>23</v>
      </c>
      <c r="P198" s="3">
        <v>0</v>
      </c>
      <c r="Q198" s="3">
        <v>14</v>
      </c>
    </row>
    <row r="199" spans="1:17">
      <c r="A199" s="3" t="s">
        <v>227</v>
      </c>
      <c r="B199" s="3">
        <v>26</v>
      </c>
      <c r="C199" s="3">
        <v>0</v>
      </c>
      <c r="D199" s="3">
        <v>33</v>
      </c>
      <c r="E199" s="3">
        <v>13</v>
      </c>
      <c r="F199" s="3">
        <v>38</v>
      </c>
      <c r="G199" s="3">
        <v>31</v>
      </c>
      <c r="H199" s="3">
        <v>0</v>
      </c>
      <c r="I199" s="3">
        <v>23</v>
      </c>
      <c r="J199" s="3">
        <v>0</v>
      </c>
      <c r="K199" s="3">
        <v>0</v>
      </c>
      <c r="L199" s="3">
        <v>17</v>
      </c>
      <c r="M199" s="3">
        <v>23</v>
      </c>
      <c r="N199" s="3">
        <v>6</v>
      </c>
      <c r="O199" s="3">
        <v>0</v>
      </c>
      <c r="P199" s="3">
        <v>0</v>
      </c>
      <c r="Q199" s="3">
        <v>23</v>
      </c>
    </row>
    <row r="200" spans="1:17">
      <c r="A200" s="3" t="s">
        <v>228</v>
      </c>
      <c r="B200" s="3">
        <v>7</v>
      </c>
      <c r="C200" s="3">
        <v>0</v>
      </c>
      <c r="D200" s="3">
        <v>35</v>
      </c>
      <c r="E200" s="3">
        <v>16</v>
      </c>
      <c r="F200" s="3">
        <v>18</v>
      </c>
      <c r="G200" s="3">
        <v>27</v>
      </c>
      <c r="H200" s="3">
        <v>27</v>
      </c>
      <c r="I200" s="3">
        <v>18</v>
      </c>
      <c r="J200" s="3">
        <v>0</v>
      </c>
      <c r="K200" s="3">
        <v>0</v>
      </c>
      <c r="L200" s="3">
        <v>18</v>
      </c>
      <c r="M200" s="3">
        <v>0</v>
      </c>
      <c r="N200" s="3">
        <v>18</v>
      </c>
      <c r="O200" s="3">
        <v>0</v>
      </c>
      <c r="P200" s="3">
        <v>20</v>
      </c>
      <c r="Q200" s="3">
        <v>28</v>
      </c>
    </row>
    <row r="201" spans="1:17">
      <c r="A201" s="3" t="s">
        <v>229</v>
      </c>
      <c r="B201" s="3">
        <v>67</v>
      </c>
      <c r="C201" s="3">
        <v>0</v>
      </c>
      <c r="D201" s="3">
        <v>70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90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</row>
    <row r="202" spans="1:17">
      <c r="A202" s="3" t="s">
        <v>230</v>
      </c>
      <c r="B202" s="3">
        <v>36</v>
      </c>
      <c r="C202" s="3">
        <v>26</v>
      </c>
      <c r="D202" s="3">
        <v>10</v>
      </c>
      <c r="E202" s="3">
        <v>13</v>
      </c>
      <c r="F202" s="3">
        <v>10</v>
      </c>
      <c r="G202" s="3">
        <v>25</v>
      </c>
      <c r="H202" s="3">
        <v>19</v>
      </c>
      <c r="I202" s="3">
        <v>23</v>
      </c>
      <c r="J202" s="3">
        <v>0</v>
      </c>
      <c r="K202" s="3">
        <v>21</v>
      </c>
      <c r="L202" s="3">
        <v>6</v>
      </c>
      <c r="M202" s="3">
        <v>11</v>
      </c>
      <c r="N202" s="3">
        <v>4</v>
      </c>
      <c r="O202" s="3">
        <v>8</v>
      </c>
      <c r="P202" s="3">
        <v>0</v>
      </c>
      <c r="Q202" s="3">
        <v>8</v>
      </c>
    </row>
    <row r="203" spans="1:17">
      <c r="A203" s="3" t="s">
        <v>231</v>
      </c>
      <c r="B203" s="3">
        <v>33</v>
      </c>
      <c r="C203" s="3">
        <v>0</v>
      </c>
      <c r="D203" s="3">
        <v>22</v>
      </c>
      <c r="E203" s="3">
        <v>24</v>
      </c>
      <c r="F203" s="3">
        <v>7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68</v>
      </c>
      <c r="M203" s="3">
        <v>31</v>
      </c>
      <c r="N203" s="3">
        <v>0</v>
      </c>
      <c r="O203" s="3">
        <v>0</v>
      </c>
      <c r="P203" s="3">
        <v>20</v>
      </c>
      <c r="Q203" s="3">
        <v>15</v>
      </c>
    </row>
    <row r="204" spans="1:17">
      <c r="A204" s="3" t="s">
        <v>232</v>
      </c>
      <c r="B204" s="3">
        <v>0</v>
      </c>
      <c r="C204" s="3">
        <v>0</v>
      </c>
      <c r="D204" s="3">
        <v>104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13</v>
      </c>
      <c r="L204" s="3">
        <v>0</v>
      </c>
      <c r="M204" s="3">
        <v>0</v>
      </c>
      <c r="N204" s="3">
        <v>0</v>
      </c>
      <c r="O204" s="3">
        <v>0</v>
      </c>
      <c r="P204" s="3">
        <v>97</v>
      </c>
      <c r="Q204" s="3">
        <v>0</v>
      </c>
    </row>
    <row r="205" spans="1:17">
      <c r="A205" s="3" t="s">
        <v>233</v>
      </c>
      <c r="B205" s="3">
        <v>9</v>
      </c>
      <c r="C205" s="3">
        <v>7</v>
      </c>
      <c r="D205" s="3">
        <v>21</v>
      </c>
      <c r="E205" s="3">
        <v>20</v>
      </c>
      <c r="F205" s="3">
        <v>10</v>
      </c>
      <c r="G205" s="3">
        <v>11</v>
      </c>
      <c r="H205" s="3">
        <v>7</v>
      </c>
      <c r="I205" s="3">
        <v>7</v>
      </c>
      <c r="J205" s="3">
        <v>15</v>
      </c>
      <c r="K205" s="3">
        <v>10</v>
      </c>
      <c r="L205" s="3">
        <v>32</v>
      </c>
      <c r="M205" s="3">
        <v>0</v>
      </c>
      <c r="N205" s="3">
        <v>15</v>
      </c>
      <c r="O205" s="3">
        <v>17</v>
      </c>
      <c r="P205" s="3">
        <v>21</v>
      </c>
      <c r="Q205" s="3">
        <v>11</v>
      </c>
    </row>
    <row r="206" spans="1:17">
      <c r="A206" s="3" t="s">
        <v>234</v>
      </c>
      <c r="B206" s="3">
        <v>77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58</v>
      </c>
      <c r="I206" s="3">
        <v>72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</row>
    <row r="207" spans="1:17">
      <c r="A207" s="3" t="s">
        <v>235</v>
      </c>
      <c r="B207" s="3">
        <v>0</v>
      </c>
      <c r="C207" s="3">
        <v>0</v>
      </c>
      <c r="D207" s="3">
        <v>86</v>
      </c>
      <c r="E207" s="3">
        <v>118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</row>
    <row r="208" spans="1:17">
      <c r="A208" s="3" t="s">
        <v>236</v>
      </c>
      <c r="B208" s="3">
        <v>0</v>
      </c>
      <c r="C208" s="3">
        <v>0</v>
      </c>
      <c r="D208" s="3">
        <v>28</v>
      </c>
      <c r="E208" s="3">
        <v>0</v>
      </c>
      <c r="F208" s="3">
        <v>0</v>
      </c>
      <c r="G208" s="3">
        <v>32</v>
      </c>
      <c r="H208" s="3">
        <v>0</v>
      </c>
      <c r="I208" s="3">
        <v>0</v>
      </c>
      <c r="J208" s="3">
        <v>0</v>
      </c>
      <c r="K208" s="3">
        <v>31</v>
      </c>
      <c r="L208" s="3">
        <v>27</v>
      </c>
      <c r="M208" s="3">
        <v>30</v>
      </c>
      <c r="N208" s="3">
        <v>33</v>
      </c>
      <c r="O208" s="3">
        <v>0</v>
      </c>
      <c r="P208" s="3">
        <v>23</v>
      </c>
      <c r="Q208" s="3">
        <v>0</v>
      </c>
    </row>
    <row r="209" spans="1:17">
      <c r="A209" s="3" t="s">
        <v>237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98</v>
      </c>
      <c r="Q209" s="3">
        <v>102</v>
      </c>
    </row>
    <row r="210" spans="1:17">
      <c r="A210" s="3" t="s">
        <v>238</v>
      </c>
      <c r="B210" s="3">
        <v>14</v>
      </c>
      <c r="C210" s="3">
        <v>12</v>
      </c>
      <c r="D210" s="3">
        <v>0</v>
      </c>
      <c r="E210" s="3">
        <v>0</v>
      </c>
      <c r="F210" s="3">
        <v>0</v>
      </c>
      <c r="G210" s="3">
        <v>9</v>
      </c>
      <c r="H210" s="3">
        <v>0</v>
      </c>
      <c r="I210" s="3">
        <v>0</v>
      </c>
      <c r="J210" s="3">
        <v>0</v>
      </c>
      <c r="K210" s="3">
        <v>0</v>
      </c>
      <c r="L210" s="3">
        <v>10</v>
      </c>
      <c r="M210" s="3">
        <v>19</v>
      </c>
      <c r="N210" s="3">
        <v>9</v>
      </c>
      <c r="O210" s="3">
        <v>0</v>
      </c>
      <c r="P210" s="3">
        <v>44</v>
      </c>
      <c r="Q210" s="3">
        <v>81</v>
      </c>
    </row>
    <row r="211" spans="1:17">
      <c r="A211" s="3" t="s">
        <v>239</v>
      </c>
      <c r="B211" s="3">
        <v>14</v>
      </c>
      <c r="C211" s="3">
        <v>19</v>
      </c>
      <c r="D211" s="3">
        <v>43</v>
      </c>
      <c r="E211" s="3">
        <v>26</v>
      </c>
      <c r="F211" s="3">
        <v>22</v>
      </c>
      <c r="G211" s="3">
        <v>52</v>
      </c>
      <c r="H211" s="3">
        <v>0</v>
      </c>
      <c r="I211" s="3">
        <v>0</v>
      </c>
      <c r="J211" s="3">
        <v>0</v>
      </c>
      <c r="K211" s="3">
        <v>8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14</v>
      </c>
    </row>
    <row r="212" spans="1:17">
      <c r="A212" s="3" t="s">
        <v>240</v>
      </c>
      <c r="B212" s="3">
        <v>6</v>
      </c>
      <c r="C212" s="3">
        <v>0</v>
      </c>
      <c r="D212" s="3">
        <v>19</v>
      </c>
      <c r="E212" s="3">
        <v>15</v>
      </c>
      <c r="F212" s="3">
        <v>0</v>
      </c>
      <c r="G212" s="3">
        <v>0</v>
      </c>
      <c r="H212" s="3">
        <v>7</v>
      </c>
      <c r="I212" s="3">
        <v>12</v>
      </c>
      <c r="J212" s="3">
        <v>32</v>
      </c>
      <c r="K212" s="3">
        <v>18</v>
      </c>
      <c r="L212" s="3">
        <v>0</v>
      </c>
      <c r="M212" s="3">
        <v>4</v>
      </c>
      <c r="N212" s="3">
        <v>0</v>
      </c>
      <c r="O212" s="3">
        <v>0</v>
      </c>
      <c r="P212" s="3">
        <v>45</v>
      </c>
      <c r="Q212" s="3">
        <v>40</v>
      </c>
    </row>
    <row r="213" spans="1:17">
      <c r="A213" s="3" t="s">
        <v>241</v>
      </c>
      <c r="B213" s="3">
        <v>18</v>
      </c>
      <c r="C213" s="3">
        <v>9</v>
      </c>
      <c r="D213" s="3">
        <v>9</v>
      </c>
      <c r="E213" s="3">
        <v>11</v>
      </c>
      <c r="F213" s="3">
        <v>40</v>
      </c>
      <c r="G213" s="3">
        <v>28</v>
      </c>
      <c r="H213" s="3">
        <v>0</v>
      </c>
      <c r="I213" s="3">
        <v>11</v>
      </c>
      <c r="J213" s="3">
        <v>0</v>
      </c>
      <c r="K213" s="3">
        <v>0</v>
      </c>
      <c r="L213" s="3">
        <v>14</v>
      </c>
      <c r="M213" s="3">
        <v>16</v>
      </c>
      <c r="N213" s="3">
        <v>0</v>
      </c>
      <c r="O213" s="3">
        <v>5</v>
      </c>
      <c r="P213" s="3">
        <v>9</v>
      </c>
      <c r="Q213" s="3">
        <v>23</v>
      </c>
    </row>
    <row r="214" spans="1:17">
      <c r="A214" s="3" t="s">
        <v>242</v>
      </c>
      <c r="B214" s="3">
        <v>13</v>
      </c>
      <c r="C214" s="3">
        <v>8</v>
      </c>
      <c r="D214" s="3">
        <v>17</v>
      </c>
      <c r="E214" s="3">
        <v>20</v>
      </c>
      <c r="F214" s="3">
        <v>6</v>
      </c>
      <c r="G214" s="3">
        <v>0</v>
      </c>
      <c r="H214" s="3">
        <v>11</v>
      </c>
      <c r="I214" s="3">
        <v>7</v>
      </c>
      <c r="J214" s="3">
        <v>0</v>
      </c>
      <c r="K214" s="3">
        <v>0</v>
      </c>
      <c r="L214" s="3">
        <v>23</v>
      </c>
      <c r="M214" s="3">
        <v>22</v>
      </c>
      <c r="N214" s="3">
        <v>19</v>
      </c>
      <c r="O214" s="3">
        <v>6</v>
      </c>
      <c r="P214" s="3">
        <v>23</v>
      </c>
      <c r="Q214" s="3">
        <v>17</v>
      </c>
    </row>
    <row r="215" spans="1:17">
      <c r="A215" s="3" t="s">
        <v>243</v>
      </c>
      <c r="B215" s="3">
        <v>0</v>
      </c>
      <c r="C215" s="3">
        <v>11</v>
      </c>
      <c r="D215" s="3">
        <v>33</v>
      </c>
      <c r="E215" s="3">
        <v>30</v>
      </c>
      <c r="F215" s="3">
        <v>0</v>
      </c>
      <c r="G215" s="3">
        <v>10</v>
      </c>
      <c r="H215" s="3">
        <v>0</v>
      </c>
      <c r="I215" s="3">
        <v>0</v>
      </c>
      <c r="J215" s="3">
        <v>39</v>
      </c>
      <c r="K215" s="3">
        <v>21</v>
      </c>
      <c r="L215" s="3">
        <v>0</v>
      </c>
      <c r="M215" s="3">
        <v>0</v>
      </c>
      <c r="N215" s="3">
        <v>0</v>
      </c>
      <c r="O215" s="3">
        <v>0</v>
      </c>
      <c r="P215" s="3">
        <v>26</v>
      </c>
      <c r="Q215" s="3">
        <v>22</v>
      </c>
    </row>
    <row r="216" spans="1:17">
      <c r="A216" s="3" t="s">
        <v>244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3</v>
      </c>
      <c r="I216" s="3">
        <v>0</v>
      </c>
      <c r="J216" s="3">
        <v>0</v>
      </c>
      <c r="K216" s="3">
        <v>0</v>
      </c>
      <c r="L216" s="3">
        <v>110</v>
      </c>
      <c r="M216" s="3">
        <v>78</v>
      </c>
      <c r="N216" s="3">
        <v>0</v>
      </c>
      <c r="O216" s="3">
        <v>0</v>
      </c>
      <c r="P216" s="3">
        <v>0</v>
      </c>
      <c r="Q216" s="3">
        <v>0</v>
      </c>
    </row>
    <row r="217" spans="1:17">
      <c r="A217" s="3" t="s">
        <v>245</v>
      </c>
      <c r="B217" s="3">
        <v>11</v>
      </c>
      <c r="C217" s="3">
        <v>7</v>
      </c>
      <c r="D217" s="3">
        <v>10</v>
      </c>
      <c r="E217" s="3">
        <v>16</v>
      </c>
      <c r="F217" s="3">
        <v>30</v>
      </c>
      <c r="G217" s="3">
        <v>21</v>
      </c>
      <c r="H217" s="3">
        <v>16</v>
      </c>
      <c r="I217" s="3">
        <v>7</v>
      </c>
      <c r="J217" s="3">
        <v>31</v>
      </c>
      <c r="K217" s="3">
        <v>12</v>
      </c>
      <c r="L217" s="3">
        <v>0</v>
      </c>
      <c r="M217" s="3">
        <v>0</v>
      </c>
      <c r="N217" s="3">
        <v>0</v>
      </c>
      <c r="O217" s="3">
        <v>5</v>
      </c>
      <c r="P217" s="3">
        <v>12</v>
      </c>
      <c r="Q217" s="3">
        <v>11</v>
      </c>
    </row>
    <row r="218" spans="1:17">
      <c r="A218" s="3" t="s">
        <v>246</v>
      </c>
      <c r="B218" s="3">
        <v>21</v>
      </c>
      <c r="C218" s="3">
        <v>23</v>
      </c>
      <c r="D218" s="3">
        <v>19</v>
      </c>
      <c r="E218" s="3">
        <v>6</v>
      </c>
      <c r="F218" s="3">
        <v>18</v>
      </c>
      <c r="G218" s="3">
        <v>36</v>
      </c>
      <c r="H218" s="3">
        <v>9</v>
      </c>
      <c r="I218" s="3">
        <v>12</v>
      </c>
      <c r="J218" s="3">
        <v>0</v>
      </c>
      <c r="K218" s="3">
        <v>12</v>
      </c>
      <c r="L218" s="3">
        <v>9</v>
      </c>
      <c r="M218" s="3">
        <v>11</v>
      </c>
      <c r="N218" s="3">
        <v>0</v>
      </c>
      <c r="O218" s="3">
        <v>0</v>
      </c>
      <c r="P218" s="3">
        <v>0</v>
      </c>
      <c r="Q218" s="3">
        <v>12</v>
      </c>
    </row>
    <row r="219" spans="1:17">
      <c r="A219" s="3" t="s">
        <v>247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38</v>
      </c>
      <c r="I219" s="3">
        <v>21</v>
      </c>
      <c r="J219" s="3">
        <v>55</v>
      </c>
      <c r="K219" s="3">
        <v>67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</row>
    <row r="220" spans="1:17">
      <c r="A220" s="3" t="s">
        <v>248</v>
      </c>
      <c r="B220" s="3">
        <v>19</v>
      </c>
      <c r="C220" s="3">
        <v>0</v>
      </c>
      <c r="D220" s="3">
        <v>0</v>
      </c>
      <c r="E220" s="3">
        <v>13</v>
      </c>
      <c r="F220" s="3">
        <v>15</v>
      </c>
      <c r="G220" s="3">
        <v>31</v>
      </c>
      <c r="H220" s="3">
        <v>0</v>
      </c>
      <c r="I220" s="3">
        <v>13</v>
      </c>
      <c r="J220" s="3">
        <v>0</v>
      </c>
      <c r="K220" s="3">
        <v>0</v>
      </c>
      <c r="L220" s="3">
        <v>33</v>
      </c>
      <c r="M220" s="3">
        <v>15</v>
      </c>
      <c r="N220" s="3">
        <v>0</v>
      </c>
      <c r="O220" s="3">
        <v>0</v>
      </c>
      <c r="P220" s="3">
        <v>14</v>
      </c>
      <c r="Q220" s="3">
        <v>22</v>
      </c>
    </row>
    <row r="221" spans="1:17">
      <c r="A221" s="3" t="s">
        <v>249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75</v>
      </c>
      <c r="K221" s="3">
        <v>100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</row>
    <row r="222" spans="1:17">
      <c r="A222" s="3" t="s">
        <v>250</v>
      </c>
      <c r="B222" s="3">
        <v>0</v>
      </c>
      <c r="C222" s="3">
        <v>0</v>
      </c>
      <c r="D222" s="3">
        <v>23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46</v>
      </c>
      <c r="M222" s="3">
        <v>21</v>
      </c>
      <c r="N222" s="3">
        <v>13</v>
      </c>
      <c r="O222" s="3">
        <v>15</v>
      </c>
      <c r="P222" s="3">
        <v>55</v>
      </c>
      <c r="Q222" s="3">
        <v>0</v>
      </c>
    </row>
    <row r="223" spans="1:17">
      <c r="A223" s="3" t="s">
        <v>251</v>
      </c>
      <c r="B223" s="3">
        <v>0</v>
      </c>
      <c r="C223" s="3">
        <v>0</v>
      </c>
      <c r="D223" s="3">
        <v>0</v>
      </c>
      <c r="E223" s="3">
        <v>88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83</v>
      </c>
      <c r="N223" s="3">
        <v>0</v>
      </c>
      <c r="O223" s="3">
        <v>0</v>
      </c>
      <c r="P223" s="3">
        <v>0</v>
      </c>
      <c r="Q223" s="3">
        <v>0</v>
      </c>
    </row>
    <row r="224" spans="1:17">
      <c r="A224" s="3" t="s">
        <v>252</v>
      </c>
      <c r="B224" s="3">
        <v>34</v>
      </c>
      <c r="C224" s="3">
        <v>9</v>
      </c>
      <c r="D224" s="3">
        <v>15</v>
      </c>
      <c r="E224" s="3">
        <v>19</v>
      </c>
      <c r="F224" s="3">
        <v>0</v>
      </c>
      <c r="G224" s="3">
        <v>0</v>
      </c>
      <c r="H224" s="3">
        <v>18</v>
      </c>
      <c r="I224" s="3">
        <v>10</v>
      </c>
      <c r="J224" s="3">
        <v>15</v>
      </c>
      <c r="K224" s="3">
        <v>16</v>
      </c>
      <c r="L224" s="3">
        <v>0</v>
      </c>
      <c r="M224" s="3">
        <v>0</v>
      </c>
      <c r="N224" s="3">
        <v>0</v>
      </c>
      <c r="O224" s="3">
        <v>18</v>
      </c>
      <c r="P224" s="3">
        <v>15</v>
      </c>
      <c r="Q224" s="3">
        <v>0</v>
      </c>
    </row>
    <row r="225" spans="1:17">
      <c r="A225" s="3" t="s">
        <v>253</v>
      </c>
      <c r="B225" s="3">
        <v>21</v>
      </c>
      <c r="C225" s="3">
        <v>0</v>
      </c>
      <c r="D225" s="3">
        <v>30</v>
      </c>
      <c r="E225" s="3">
        <v>10</v>
      </c>
      <c r="F225" s="3">
        <v>6</v>
      </c>
      <c r="G225" s="3">
        <v>17</v>
      </c>
      <c r="H225" s="3">
        <v>0</v>
      </c>
      <c r="I225" s="3">
        <v>0</v>
      </c>
      <c r="J225" s="3">
        <v>0</v>
      </c>
      <c r="K225" s="3">
        <v>0</v>
      </c>
      <c r="L225" s="3">
        <v>8</v>
      </c>
      <c r="M225" s="3">
        <v>25</v>
      </c>
      <c r="N225" s="3">
        <v>9</v>
      </c>
      <c r="O225" s="3">
        <v>12</v>
      </c>
      <c r="P225" s="3">
        <v>13</v>
      </c>
      <c r="Q225" s="3">
        <v>18</v>
      </c>
    </row>
    <row r="226" spans="1:17">
      <c r="A226" s="3" t="s">
        <v>254</v>
      </c>
      <c r="B226" s="3">
        <v>36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53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51</v>
      </c>
      <c r="O226" s="3">
        <v>27</v>
      </c>
      <c r="P226" s="3">
        <v>0</v>
      </c>
      <c r="Q226" s="3">
        <v>0</v>
      </c>
    </row>
    <row r="227" spans="1:17">
      <c r="A227" s="3" t="s">
        <v>255</v>
      </c>
      <c r="B227" s="3">
        <v>21</v>
      </c>
      <c r="C227" s="3">
        <v>22</v>
      </c>
      <c r="D227" s="3">
        <v>18</v>
      </c>
      <c r="E227" s="3">
        <v>10</v>
      </c>
      <c r="F227" s="3">
        <v>0</v>
      </c>
      <c r="G227" s="3">
        <v>7</v>
      </c>
      <c r="H227" s="3">
        <v>12</v>
      </c>
      <c r="I227" s="3">
        <v>0</v>
      </c>
      <c r="J227" s="3">
        <v>0</v>
      </c>
      <c r="K227" s="3">
        <v>0</v>
      </c>
      <c r="L227" s="3">
        <v>15</v>
      </c>
      <c r="M227" s="3">
        <v>17</v>
      </c>
      <c r="N227" s="3">
        <v>18</v>
      </c>
      <c r="O227" s="3">
        <v>18</v>
      </c>
      <c r="P227" s="3">
        <v>0</v>
      </c>
      <c r="Q227" s="3">
        <v>0</v>
      </c>
    </row>
    <row r="228" spans="1:17">
      <c r="A228" s="3" t="s">
        <v>256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66</v>
      </c>
      <c r="K228" s="3">
        <v>86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</row>
    <row r="229" spans="1:17">
      <c r="A229" s="3" t="s">
        <v>257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79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71</v>
      </c>
    </row>
    <row r="230" spans="1:17">
      <c r="A230" s="3" t="s">
        <v>258</v>
      </c>
      <c r="B230" s="3">
        <v>12</v>
      </c>
      <c r="C230" s="3">
        <v>12</v>
      </c>
      <c r="D230" s="3">
        <v>19</v>
      </c>
      <c r="E230" s="3">
        <v>6</v>
      </c>
      <c r="F230" s="3">
        <v>11</v>
      </c>
      <c r="G230" s="3">
        <v>10</v>
      </c>
      <c r="H230" s="3">
        <v>0</v>
      </c>
      <c r="I230" s="3">
        <v>0</v>
      </c>
      <c r="J230" s="3">
        <v>18</v>
      </c>
      <c r="K230" s="3">
        <v>10</v>
      </c>
      <c r="L230" s="3">
        <v>0</v>
      </c>
      <c r="M230" s="3">
        <v>18</v>
      </c>
      <c r="N230" s="3">
        <v>10</v>
      </c>
      <c r="O230" s="3">
        <v>7</v>
      </c>
      <c r="P230" s="3">
        <v>6</v>
      </c>
      <c r="Q230" s="3">
        <v>10</v>
      </c>
    </row>
    <row r="231" spans="1:17">
      <c r="A231" s="3" t="s">
        <v>259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86</v>
      </c>
      <c r="O231" s="3">
        <v>63</v>
      </c>
      <c r="P231" s="3">
        <v>0</v>
      </c>
      <c r="Q231" s="3">
        <v>0</v>
      </c>
    </row>
    <row r="232" spans="1:17">
      <c r="A232" s="3" t="s">
        <v>260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81</v>
      </c>
      <c r="O232" s="3">
        <v>0</v>
      </c>
      <c r="P232" s="3">
        <v>0</v>
      </c>
      <c r="Q232" s="3">
        <v>63</v>
      </c>
    </row>
    <row r="233" spans="1:17">
      <c r="A233" s="3" t="s">
        <v>261</v>
      </c>
      <c r="B233" s="3">
        <v>0</v>
      </c>
      <c r="C233" s="3">
        <v>0</v>
      </c>
      <c r="D233" s="3">
        <v>0</v>
      </c>
      <c r="E233" s="3">
        <v>0</v>
      </c>
      <c r="F233" s="3">
        <v>43</v>
      </c>
      <c r="G233" s="3">
        <v>0</v>
      </c>
      <c r="H233" s="3">
        <v>45</v>
      </c>
      <c r="I233" s="3">
        <v>54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</row>
    <row r="234" spans="1:17">
      <c r="A234" s="3" t="s">
        <v>262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63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79</v>
      </c>
    </row>
    <row r="235" spans="1:17">
      <c r="A235" s="3" t="s">
        <v>263</v>
      </c>
      <c r="B235" s="3">
        <v>17</v>
      </c>
      <c r="C235" s="3">
        <v>5</v>
      </c>
      <c r="D235" s="3">
        <v>8</v>
      </c>
      <c r="E235" s="3">
        <v>9</v>
      </c>
      <c r="F235" s="3">
        <v>14</v>
      </c>
      <c r="G235" s="3">
        <v>11</v>
      </c>
      <c r="H235" s="3">
        <v>14</v>
      </c>
      <c r="I235" s="3">
        <v>6</v>
      </c>
      <c r="J235" s="3">
        <v>0</v>
      </c>
      <c r="K235" s="3">
        <v>7</v>
      </c>
      <c r="L235" s="3">
        <v>24</v>
      </c>
      <c r="M235" s="3">
        <v>7</v>
      </c>
      <c r="N235" s="3">
        <v>17</v>
      </c>
      <c r="O235" s="3">
        <v>0</v>
      </c>
      <c r="P235" s="3">
        <v>0</v>
      </c>
      <c r="Q235" s="3">
        <v>0</v>
      </c>
    </row>
    <row r="236" spans="1:17">
      <c r="A236" s="3" t="s">
        <v>264</v>
      </c>
      <c r="B236" s="3">
        <v>0</v>
      </c>
      <c r="C236" s="3">
        <v>0</v>
      </c>
      <c r="D236" s="3">
        <v>41</v>
      </c>
      <c r="E236" s="3">
        <v>23</v>
      </c>
      <c r="F236" s="3">
        <v>41</v>
      </c>
      <c r="G236" s="3">
        <v>34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</row>
    <row r="237" spans="1:17">
      <c r="A237" s="3" t="s">
        <v>265</v>
      </c>
      <c r="B237" s="3">
        <v>12</v>
      </c>
      <c r="C237" s="3">
        <v>14</v>
      </c>
      <c r="D237" s="3">
        <v>12</v>
      </c>
      <c r="E237" s="3">
        <v>0</v>
      </c>
      <c r="F237" s="3">
        <v>0</v>
      </c>
      <c r="G237" s="3">
        <v>0</v>
      </c>
      <c r="H237" s="3">
        <v>11</v>
      </c>
      <c r="I237" s="3">
        <v>16</v>
      </c>
      <c r="J237" s="3">
        <v>43</v>
      </c>
      <c r="K237" s="3">
        <v>10</v>
      </c>
      <c r="L237" s="3">
        <v>20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</row>
    <row r="238" spans="1:17">
      <c r="A238" s="3" t="s">
        <v>266</v>
      </c>
      <c r="B238" s="3">
        <v>0</v>
      </c>
      <c r="C238" s="3">
        <v>16</v>
      </c>
      <c r="D238" s="3">
        <v>17</v>
      </c>
      <c r="E238" s="3">
        <v>15</v>
      </c>
      <c r="F238" s="3">
        <v>0</v>
      </c>
      <c r="G238" s="3">
        <v>21</v>
      </c>
      <c r="H238" s="3">
        <v>11</v>
      </c>
      <c r="I238" s="3">
        <v>0</v>
      </c>
      <c r="J238" s="3">
        <v>0</v>
      </c>
      <c r="K238" s="3">
        <v>7</v>
      </c>
      <c r="L238" s="3">
        <v>0</v>
      </c>
      <c r="M238" s="3">
        <v>13</v>
      </c>
      <c r="N238" s="3">
        <v>0</v>
      </c>
      <c r="O238" s="3">
        <v>20</v>
      </c>
      <c r="P238" s="3">
        <v>15</v>
      </c>
      <c r="Q238" s="3">
        <v>0</v>
      </c>
    </row>
    <row r="239" spans="1:17">
      <c r="A239" s="3" t="s">
        <v>267</v>
      </c>
      <c r="B239" s="3">
        <v>0</v>
      </c>
      <c r="C239" s="3">
        <v>0</v>
      </c>
      <c r="D239" s="3">
        <v>0</v>
      </c>
      <c r="E239" s="3">
        <v>0</v>
      </c>
      <c r="F239" s="3">
        <v>30</v>
      </c>
      <c r="G239" s="3">
        <v>28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52</v>
      </c>
      <c r="O239" s="3">
        <v>24</v>
      </c>
      <c r="P239" s="3">
        <v>0</v>
      </c>
      <c r="Q239" s="3">
        <v>0</v>
      </c>
    </row>
    <row r="240" spans="1:17">
      <c r="A240" s="3" t="s">
        <v>268</v>
      </c>
      <c r="B240" s="3">
        <v>23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21</v>
      </c>
      <c r="J240" s="3">
        <v>0</v>
      </c>
      <c r="K240" s="3">
        <v>19</v>
      </c>
      <c r="L240" s="3">
        <v>16</v>
      </c>
      <c r="M240" s="3">
        <v>17</v>
      </c>
      <c r="N240" s="3">
        <v>0</v>
      </c>
      <c r="O240" s="3">
        <v>0</v>
      </c>
      <c r="P240" s="3">
        <v>17</v>
      </c>
      <c r="Q240" s="3">
        <v>20</v>
      </c>
    </row>
    <row r="241" spans="1:17">
      <c r="A241" s="3" t="s">
        <v>269</v>
      </c>
      <c r="B241" s="3">
        <v>16</v>
      </c>
      <c r="C241" s="3">
        <v>4</v>
      </c>
      <c r="D241" s="3">
        <v>9</v>
      </c>
      <c r="E241" s="3">
        <v>13</v>
      </c>
      <c r="F241" s="3">
        <v>4</v>
      </c>
      <c r="G241" s="3">
        <v>0</v>
      </c>
      <c r="H241" s="3">
        <v>6</v>
      </c>
      <c r="I241" s="3">
        <v>0</v>
      </c>
      <c r="J241" s="3">
        <v>22</v>
      </c>
      <c r="K241" s="3">
        <v>6</v>
      </c>
      <c r="L241" s="3">
        <v>13</v>
      </c>
      <c r="M241" s="3">
        <v>3</v>
      </c>
      <c r="N241" s="3">
        <v>8</v>
      </c>
      <c r="O241" s="3">
        <v>6</v>
      </c>
      <c r="P241" s="3">
        <v>17</v>
      </c>
      <c r="Q241" s="3">
        <v>6</v>
      </c>
    </row>
    <row r="242" spans="1:17">
      <c r="A242" s="3" t="s">
        <v>270</v>
      </c>
      <c r="B242" s="3">
        <v>15</v>
      </c>
      <c r="C242" s="3">
        <v>0</v>
      </c>
      <c r="D242" s="3">
        <v>35</v>
      </c>
      <c r="E242" s="3">
        <v>0</v>
      </c>
      <c r="F242" s="3">
        <v>11</v>
      </c>
      <c r="G242" s="3">
        <v>0</v>
      </c>
      <c r="H242" s="3">
        <v>19</v>
      </c>
      <c r="I242" s="3">
        <v>13</v>
      </c>
      <c r="J242" s="3">
        <v>0</v>
      </c>
      <c r="K242" s="3">
        <v>0</v>
      </c>
      <c r="L242" s="3">
        <v>0</v>
      </c>
      <c r="M242" s="3">
        <v>24</v>
      </c>
      <c r="N242" s="3">
        <v>13</v>
      </c>
      <c r="O242" s="3">
        <v>0</v>
      </c>
      <c r="P242" s="3">
        <v>0</v>
      </c>
      <c r="Q242" s="3">
        <v>0</v>
      </c>
    </row>
    <row r="243" spans="1:17">
      <c r="A243" s="3" t="s">
        <v>271</v>
      </c>
      <c r="B243" s="3">
        <v>17</v>
      </c>
      <c r="C243" s="3">
        <v>19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45</v>
      </c>
      <c r="Q243" s="3">
        <v>48</v>
      </c>
    </row>
    <row r="244" spans="1:17">
      <c r="A244" s="3" t="s">
        <v>272</v>
      </c>
      <c r="B244" s="3">
        <v>0</v>
      </c>
      <c r="C244" s="3">
        <v>12</v>
      </c>
      <c r="D244" s="3">
        <v>18</v>
      </c>
      <c r="E244" s="3">
        <v>12</v>
      </c>
      <c r="F244" s="3">
        <v>13</v>
      </c>
      <c r="G244" s="3">
        <v>21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10</v>
      </c>
      <c r="N244" s="3">
        <v>11</v>
      </c>
      <c r="O244" s="3">
        <v>17</v>
      </c>
      <c r="P244" s="3">
        <v>14</v>
      </c>
      <c r="Q244" s="3">
        <v>0</v>
      </c>
    </row>
    <row r="245" spans="1:17">
      <c r="A245" s="3" t="s">
        <v>273</v>
      </c>
      <c r="B245" s="3">
        <v>10</v>
      </c>
      <c r="C245" s="3">
        <v>0</v>
      </c>
      <c r="D245" s="3">
        <v>13</v>
      </c>
      <c r="E245" s="3">
        <v>0</v>
      </c>
      <c r="F245" s="3">
        <v>0</v>
      </c>
      <c r="G245" s="3">
        <v>6</v>
      </c>
      <c r="H245" s="3">
        <v>15</v>
      </c>
      <c r="I245" s="3">
        <v>11</v>
      </c>
      <c r="J245" s="3">
        <v>0</v>
      </c>
      <c r="K245" s="3">
        <v>5</v>
      </c>
      <c r="L245" s="3">
        <v>34</v>
      </c>
      <c r="M245" s="3">
        <v>6</v>
      </c>
      <c r="N245" s="3">
        <v>26</v>
      </c>
      <c r="O245" s="3">
        <v>0</v>
      </c>
      <c r="P245" s="3">
        <v>0</v>
      </c>
      <c r="Q245" s="3">
        <v>0</v>
      </c>
    </row>
    <row r="246" spans="1:17">
      <c r="A246" s="3" t="s">
        <v>274</v>
      </c>
      <c r="B246" s="3">
        <v>23</v>
      </c>
      <c r="C246" s="3">
        <v>24</v>
      </c>
      <c r="D246" s="3">
        <v>6</v>
      </c>
      <c r="E246" s="3">
        <v>8</v>
      </c>
      <c r="F246" s="3">
        <v>0</v>
      </c>
      <c r="G246" s="3">
        <v>10</v>
      </c>
      <c r="H246" s="3">
        <v>6</v>
      </c>
      <c r="I246" s="3">
        <v>7</v>
      </c>
      <c r="J246" s="3">
        <v>0</v>
      </c>
      <c r="K246" s="3">
        <v>23</v>
      </c>
      <c r="L246" s="3">
        <v>6</v>
      </c>
      <c r="M246" s="3">
        <v>0</v>
      </c>
      <c r="N246" s="3">
        <v>4</v>
      </c>
      <c r="O246" s="3">
        <v>7</v>
      </c>
      <c r="P246" s="3">
        <v>0</v>
      </c>
      <c r="Q246" s="3">
        <v>0</v>
      </c>
    </row>
    <row r="247" spans="1:17">
      <c r="A247" s="3" t="s">
        <v>275</v>
      </c>
      <c r="B247" s="3">
        <v>49</v>
      </c>
      <c r="C247" s="3">
        <v>74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</row>
    <row r="248" spans="1:17">
      <c r="A248" s="3" t="s">
        <v>276</v>
      </c>
      <c r="B248" s="3">
        <v>17</v>
      </c>
      <c r="C248" s="3">
        <v>9</v>
      </c>
      <c r="D248" s="3">
        <v>19</v>
      </c>
      <c r="E248" s="3">
        <v>11</v>
      </c>
      <c r="F248" s="3">
        <v>6</v>
      </c>
      <c r="G248" s="3">
        <v>5</v>
      </c>
      <c r="H248" s="3">
        <v>9</v>
      </c>
      <c r="I248" s="3">
        <v>6</v>
      </c>
      <c r="J248" s="3">
        <v>0</v>
      </c>
      <c r="K248" s="3">
        <v>0</v>
      </c>
      <c r="L248" s="3">
        <v>7</v>
      </c>
      <c r="M248" s="3">
        <v>8</v>
      </c>
      <c r="N248" s="3">
        <v>4</v>
      </c>
      <c r="O248" s="3">
        <v>0</v>
      </c>
      <c r="P248" s="3">
        <v>9</v>
      </c>
      <c r="Q248" s="3">
        <v>9</v>
      </c>
    </row>
    <row r="249" spans="1:17">
      <c r="A249" s="3" t="s">
        <v>277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72</v>
      </c>
      <c r="M249" s="3">
        <v>0</v>
      </c>
      <c r="N249" s="3">
        <v>47</v>
      </c>
      <c r="O249" s="3">
        <v>0</v>
      </c>
      <c r="P249" s="3">
        <v>0</v>
      </c>
      <c r="Q249" s="3">
        <v>0</v>
      </c>
    </row>
    <row r="250" spans="1:17">
      <c r="A250" s="3" t="s">
        <v>278</v>
      </c>
      <c r="B250" s="3">
        <v>28</v>
      </c>
      <c r="C250" s="3">
        <v>0</v>
      </c>
      <c r="D250" s="3">
        <v>8</v>
      </c>
      <c r="E250" s="3">
        <v>0</v>
      </c>
      <c r="F250" s="3">
        <v>0</v>
      </c>
      <c r="G250" s="3">
        <v>22</v>
      </c>
      <c r="H250" s="3">
        <v>17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18</v>
      </c>
      <c r="O250" s="3">
        <v>10</v>
      </c>
      <c r="P250" s="3">
        <v>4</v>
      </c>
      <c r="Q250" s="3">
        <v>8</v>
      </c>
    </row>
    <row r="251" spans="1:17">
      <c r="A251" s="3" t="s">
        <v>279</v>
      </c>
      <c r="B251" s="3">
        <v>25</v>
      </c>
      <c r="C251" s="3">
        <v>16</v>
      </c>
      <c r="D251" s="3">
        <v>13</v>
      </c>
      <c r="E251" s="3">
        <v>0</v>
      </c>
      <c r="F251" s="3">
        <v>0</v>
      </c>
      <c r="G251" s="3">
        <v>0</v>
      </c>
      <c r="H251" s="3">
        <v>40</v>
      </c>
      <c r="I251" s="3">
        <v>21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</row>
    <row r="252" spans="1:17">
      <c r="A252" s="3" t="s">
        <v>280</v>
      </c>
      <c r="B252" s="3">
        <v>0</v>
      </c>
      <c r="C252" s="3">
        <v>0</v>
      </c>
      <c r="D252" s="3">
        <v>16</v>
      </c>
      <c r="E252" s="3">
        <v>0</v>
      </c>
      <c r="F252" s="3">
        <v>0</v>
      </c>
      <c r="G252" s="3">
        <v>0</v>
      </c>
      <c r="H252" s="3">
        <v>23</v>
      </c>
      <c r="I252" s="3">
        <v>4</v>
      </c>
      <c r="J252" s="3">
        <v>0</v>
      </c>
      <c r="K252" s="3">
        <v>0</v>
      </c>
      <c r="L252" s="3">
        <v>22</v>
      </c>
      <c r="M252" s="3">
        <v>50</v>
      </c>
      <c r="N252" s="3">
        <v>0</v>
      </c>
      <c r="O252" s="3">
        <v>0</v>
      </c>
      <c r="P252" s="3">
        <v>0</v>
      </c>
      <c r="Q252" s="3">
        <v>0</v>
      </c>
    </row>
    <row r="253" spans="1:17">
      <c r="A253" s="3" t="s">
        <v>281</v>
      </c>
      <c r="B253" s="3">
        <v>0</v>
      </c>
      <c r="C253" s="3">
        <v>9</v>
      </c>
      <c r="D253" s="3">
        <v>26</v>
      </c>
      <c r="E253" s="3">
        <v>15</v>
      </c>
      <c r="F253" s="3">
        <v>0</v>
      </c>
      <c r="G253" s="3">
        <v>9</v>
      </c>
      <c r="H253" s="3">
        <v>11</v>
      </c>
      <c r="I253" s="3">
        <v>8</v>
      </c>
      <c r="J253" s="3">
        <v>0</v>
      </c>
      <c r="K253" s="3">
        <v>3</v>
      </c>
      <c r="L253" s="3">
        <v>5</v>
      </c>
      <c r="M253" s="3">
        <v>10</v>
      </c>
      <c r="N253" s="3">
        <v>5</v>
      </c>
      <c r="O253" s="3">
        <v>0</v>
      </c>
      <c r="P253" s="3">
        <v>11</v>
      </c>
      <c r="Q253" s="3">
        <v>0</v>
      </c>
    </row>
    <row r="254" spans="1:17">
      <c r="A254" s="3" t="s">
        <v>282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46</v>
      </c>
      <c r="M254" s="3">
        <v>0</v>
      </c>
      <c r="N254" s="3">
        <v>0</v>
      </c>
      <c r="O254" s="3">
        <v>0</v>
      </c>
      <c r="P254" s="3">
        <v>66</v>
      </c>
      <c r="Q254" s="3">
        <v>0</v>
      </c>
    </row>
    <row r="255" spans="1:17">
      <c r="A255" s="3" t="s">
        <v>283</v>
      </c>
      <c r="B255" s="3">
        <v>9</v>
      </c>
      <c r="C255" s="3">
        <v>0</v>
      </c>
      <c r="D255" s="3">
        <v>10</v>
      </c>
      <c r="E255" s="3">
        <v>9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20</v>
      </c>
      <c r="L255" s="3">
        <v>30</v>
      </c>
      <c r="M255" s="3">
        <v>21</v>
      </c>
      <c r="N255" s="3">
        <v>0</v>
      </c>
      <c r="O255" s="3">
        <v>0</v>
      </c>
      <c r="P255" s="3">
        <v>11</v>
      </c>
      <c r="Q255" s="3">
        <v>0</v>
      </c>
    </row>
    <row r="256" spans="1:17">
      <c r="A256" s="3" t="s">
        <v>284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82</v>
      </c>
      <c r="O256" s="3">
        <v>28</v>
      </c>
      <c r="P256" s="3">
        <v>0</v>
      </c>
      <c r="Q256" s="3">
        <v>0</v>
      </c>
    </row>
    <row r="257" spans="1:17">
      <c r="A257" s="3" t="s">
        <v>285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36</v>
      </c>
      <c r="K257" s="3">
        <v>18</v>
      </c>
      <c r="L257" s="3">
        <v>0</v>
      </c>
      <c r="M257" s="3">
        <v>0</v>
      </c>
      <c r="N257" s="3">
        <v>0</v>
      </c>
      <c r="O257" s="3">
        <v>0</v>
      </c>
      <c r="P257" s="3">
        <v>55</v>
      </c>
      <c r="Q257" s="3">
        <v>0</v>
      </c>
    </row>
    <row r="258" spans="1:17">
      <c r="A258" s="3" t="s">
        <v>286</v>
      </c>
      <c r="B258" s="3">
        <v>0</v>
      </c>
      <c r="C258" s="3">
        <v>0</v>
      </c>
      <c r="D258" s="3">
        <v>17</v>
      </c>
      <c r="E258" s="3">
        <v>0</v>
      </c>
      <c r="F258" s="3">
        <v>17</v>
      </c>
      <c r="G258" s="3">
        <v>10</v>
      </c>
      <c r="H258" s="3">
        <v>0</v>
      </c>
      <c r="I258" s="3">
        <v>0</v>
      </c>
      <c r="J258" s="3">
        <v>0</v>
      </c>
      <c r="K258" s="3">
        <v>0</v>
      </c>
      <c r="L258" s="3">
        <v>28</v>
      </c>
      <c r="M258" s="3">
        <v>17</v>
      </c>
      <c r="N258" s="3">
        <v>0</v>
      </c>
      <c r="O258" s="3">
        <v>0</v>
      </c>
      <c r="P258" s="3">
        <v>0</v>
      </c>
      <c r="Q258" s="3">
        <v>19</v>
      </c>
    </row>
    <row r="259" spans="1:17">
      <c r="A259" s="3" t="s">
        <v>287</v>
      </c>
      <c r="B259" s="3">
        <v>32</v>
      </c>
      <c r="C259" s="3">
        <v>19</v>
      </c>
      <c r="D259" s="3">
        <v>10</v>
      </c>
      <c r="E259" s="3">
        <v>14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14</v>
      </c>
      <c r="M259" s="3">
        <v>18</v>
      </c>
      <c r="N259" s="3">
        <v>0</v>
      </c>
      <c r="O259" s="3">
        <v>0</v>
      </c>
      <c r="P259" s="3">
        <v>0</v>
      </c>
      <c r="Q259" s="3">
        <v>0</v>
      </c>
    </row>
    <row r="260" spans="1:17">
      <c r="A260" s="3" t="s">
        <v>288</v>
      </c>
      <c r="B260" s="3">
        <v>11</v>
      </c>
      <c r="C260" s="3">
        <v>7</v>
      </c>
      <c r="D260" s="3">
        <v>10</v>
      </c>
      <c r="E260" s="3">
        <v>9</v>
      </c>
      <c r="F260" s="3">
        <v>0</v>
      </c>
      <c r="G260" s="3">
        <v>0</v>
      </c>
      <c r="H260" s="3">
        <v>11</v>
      </c>
      <c r="I260" s="3">
        <v>11</v>
      </c>
      <c r="J260" s="3">
        <v>0</v>
      </c>
      <c r="K260" s="3">
        <v>0</v>
      </c>
      <c r="L260" s="3">
        <v>0</v>
      </c>
      <c r="M260" s="3">
        <v>8</v>
      </c>
      <c r="N260" s="3">
        <v>15</v>
      </c>
      <c r="O260" s="3">
        <v>11</v>
      </c>
      <c r="P260" s="3">
        <v>7</v>
      </c>
      <c r="Q260" s="3">
        <v>6</v>
      </c>
    </row>
    <row r="261" spans="1:17">
      <c r="A261" s="3" t="s">
        <v>289</v>
      </c>
      <c r="B261" s="3">
        <v>36</v>
      </c>
      <c r="C261" s="3">
        <v>0</v>
      </c>
      <c r="D261" s="3">
        <v>0</v>
      </c>
      <c r="E261" s="3">
        <v>27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42</v>
      </c>
      <c r="N261" s="3">
        <v>0</v>
      </c>
      <c r="O261" s="3">
        <v>0</v>
      </c>
      <c r="P261" s="3">
        <v>0</v>
      </c>
      <c r="Q261" s="3">
        <v>0</v>
      </c>
    </row>
    <row r="262" spans="1:17">
      <c r="A262" s="3" t="s">
        <v>290</v>
      </c>
      <c r="B262" s="3">
        <v>8</v>
      </c>
      <c r="C262" s="3">
        <v>0</v>
      </c>
      <c r="D262" s="3">
        <v>8</v>
      </c>
      <c r="E262" s="3">
        <v>13</v>
      </c>
      <c r="F262" s="3">
        <v>5</v>
      </c>
      <c r="G262" s="3">
        <v>12</v>
      </c>
      <c r="H262" s="3">
        <v>15</v>
      </c>
      <c r="I262" s="3">
        <v>8</v>
      </c>
      <c r="J262" s="3">
        <v>0</v>
      </c>
      <c r="K262" s="3">
        <v>0</v>
      </c>
      <c r="L262" s="3">
        <v>15</v>
      </c>
      <c r="M262" s="3">
        <v>5</v>
      </c>
      <c r="N262" s="3">
        <v>10</v>
      </c>
      <c r="O262" s="3">
        <v>0</v>
      </c>
      <c r="P262" s="3">
        <v>0</v>
      </c>
      <c r="Q262" s="3">
        <v>6</v>
      </c>
    </row>
    <row r="263" spans="1:17">
      <c r="A263" s="3" t="s">
        <v>291</v>
      </c>
      <c r="B263" s="3">
        <v>2</v>
      </c>
      <c r="C263" s="3">
        <v>24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18</v>
      </c>
      <c r="J263" s="3">
        <v>0</v>
      </c>
      <c r="K263" s="3">
        <v>0</v>
      </c>
      <c r="L263" s="3">
        <v>21</v>
      </c>
      <c r="M263" s="3">
        <v>26</v>
      </c>
      <c r="N263" s="3">
        <v>4</v>
      </c>
      <c r="O263" s="3">
        <v>0</v>
      </c>
      <c r="P263" s="3">
        <v>10</v>
      </c>
      <c r="Q263" s="3">
        <v>0</v>
      </c>
    </row>
    <row r="264" spans="1:17">
      <c r="A264" s="3" t="s">
        <v>292</v>
      </c>
      <c r="B264" s="3">
        <v>23</v>
      </c>
      <c r="C264" s="3">
        <v>0</v>
      </c>
      <c r="D264" s="3">
        <v>8</v>
      </c>
      <c r="E264" s="3">
        <v>12</v>
      </c>
      <c r="F264" s="3">
        <v>14</v>
      </c>
      <c r="G264" s="3">
        <v>0</v>
      </c>
      <c r="H264" s="3">
        <v>0</v>
      </c>
      <c r="I264" s="3">
        <v>0</v>
      </c>
      <c r="J264" s="3">
        <v>0</v>
      </c>
      <c r="K264" s="3">
        <v>5</v>
      </c>
      <c r="L264" s="3">
        <v>10</v>
      </c>
      <c r="M264" s="3">
        <v>0</v>
      </c>
      <c r="N264" s="3">
        <v>20</v>
      </c>
      <c r="O264" s="3">
        <v>0</v>
      </c>
      <c r="P264" s="3">
        <v>10</v>
      </c>
      <c r="Q264" s="3">
        <v>0</v>
      </c>
    </row>
    <row r="265" spans="1:17">
      <c r="A265" s="3" t="s">
        <v>293</v>
      </c>
      <c r="B265" s="3">
        <v>8</v>
      </c>
      <c r="C265" s="3">
        <v>7</v>
      </c>
      <c r="D265" s="3">
        <v>19</v>
      </c>
      <c r="E265" s="3">
        <v>6</v>
      </c>
      <c r="F265" s="3">
        <v>5</v>
      </c>
      <c r="G265" s="3">
        <v>6</v>
      </c>
      <c r="H265" s="3">
        <v>0</v>
      </c>
      <c r="I265" s="3">
        <v>0</v>
      </c>
      <c r="J265" s="3">
        <v>0</v>
      </c>
      <c r="K265" s="3">
        <v>0</v>
      </c>
      <c r="L265" s="3">
        <v>22</v>
      </c>
      <c r="M265" s="3">
        <v>0</v>
      </c>
      <c r="N265" s="3">
        <v>4</v>
      </c>
      <c r="O265" s="3">
        <v>0</v>
      </c>
      <c r="P265" s="3">
        <v>13</v>
      </c>
      <c r="Q265" s="3">
        <v>8</v>
      </c>
    </row>
    <row r="266" spans="1:17">
      <c r="A266" s="3" t="s">
        <v>294</v>
      </c>
      <c r="B266" s="3">
        <v>28</v>
      </c>
      <c r="C266" s="3">
        <v>8</v>
      </c>
      <c r="D266" s="3">
        <v>0</v>
      </c>
      <c r="E266" s="3">
        <v>0</v>
      </c>
      <c r="F266" s="3">
        <v>8</v>
      </c>
      <c r="G266" s="3">
        <v>8</v>
      </c>
      <c r="H266" s="3">
        <v>29</v>
      </c>
      <c r="I266" s="3">
        <v>16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</row>
    <row r="267" spans="1:17">
      <c r="A267" s="3" t="s">
        <v>295</v>
      </c>
      <c r="B267" s="3">
        <v>0</v>
      </c>
      <c r="C267" s="3">
        <v>0</v>
      </c>
      <c r="D267" s="3">
        <v>28</v>
      </c>
      <c r="E267" s="3">
        <v>0</v>
      </c>
      <c r="F267" s="3">
        <v>0</v>
      </c>
      <c r="G267" s="3">
        <v>30</v>
      </c>
      <c r="H267" s="3">
        <v>0</v>
      </c>
      <c r="I267" s="3">
        <v>0</v>
      </c>
      <c r="J267" s="3">
        <v>22</v>
      </c>
      <c r="K267" s="3">
        <v>14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</row>
    <row r="268" spans="1:17">
      <c r="A268" s="3" t="s">
        <v>296</v>
      </c>
      <c r="B268" s="3">
        <v>0</v>
      </c>
      <c r="C268" s="3">
        <v>0</v>
      </c>
      <c r="D268" s="3">
        <v>0</v>
      </c>
      <c r="E268" s="3">
        <v>16</v>
      </c>
      <c r="F268" s="3">
        <v>0</v>
      </c>
      <c r="G268" s="3">
        <v>0</v>
      </c>
      <c r="H268" s="3">
        <v>0</v>
      </c>
      <c r="I268" s="3">
        <v>0</v>
      </c>
      <c r="J268" s="3">
        <v>11</v>
      </c>
      <c r="K268" s="3">
        <v>15</v>
      </c>
      <c r="L268" s="3">
        <v>0</v>
      </c>
      <c r="M268" s="3">
        <v>0</v>
      </c>
      <c r="N268" s="3">
        <v>17</v>
      </c>
      <c r="O268" s="3">
        <v>12</v>
      </c>
      <c r="P268" s="3">
        <v>11</v>
      </c>
      <c r="Q268" s="3">
        <v>12</v>
      </c>
    </row>
    <row r="269" spans="1:17">
      <c r="A269" s="3" t="s">
        <v>297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69</v>
      </c>
      <c r="L269" s="3">
        <v>0</v>
      </c>
      <c r="M269" s="3">
        <v>0</v>
      </c>
      <c r="N269" s="3">
        <v>0</v>
      </c>
      <c r="O269" s="3">
        <v>24</v>
      </c>
      <c r="P269" s="3">
        <v>0</v>
      </c>
      <c r="Q269" s="3">
        <v>0</v>
      </c>
    </row>
    <row r="270" spans="1:17">
      <c r="A270" s="3" t="s">
        <v>298</v>
      </c>
      <c r="B270" s="3">
        <v>54</v>
      </c>
      <c r="C270" s="3">
        <v>25</v>
      </c>
      <c r="D270" s="3">
        <v>10</v>
      </c>
      <c r="E270" s="3">
        <v>0</v>
      </c>
      <c r="F270" s="3">
        <v>0</v>
      </c>
      <c r="G270" s="3">
        <v>0</v>
      </c>
      <c r="H270" s="3">
        <v>0</v>
      </c>
      <c r="I270" s="3">
        <v>3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</row>
    <row r="271" spans="1:17">
      <c r="A271" s="3" t="s">
        <v>299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92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</row>
    <row r="272" spans="1:17">
      <c r="A272" s="3" t="s">
        <v>300</v>
      </c>
      <c r="B272" s="3">
        <v>6</v>
      </c>
      <c r="C272" s="3">
        <v>26</v>
      </c>
      <c r="D272" s="3">
        <v>0</v>
      </c>
      <c r="E272" s="3">
        <v>0</v>
      </c>
      <c r="F272" s="3">
        <v>0</v>
      </c>
      <c r="G272" s="3">
        <v>2</v>
      </c>
      <c r="H272" s="3">
        <v>25</v>
      </c>
      <c r="I272" s="3">
        <v>12</v>
      </c>
      <c r="J272" s="3">
        <v>0</v>
      </c>
      <c r="K272" s="3">
        <v>0</v>
      </c>
      <c r="L272" s="3">
        <v>4</v>
      </c>
      <c r="M272" s="3">
        <v>7</v>
      </c>
      <c r="N272" s="3">
        <v>0</v>
      </c>
      <c r="O272" s="3">
        <v>0</v>
      </c>
      <c r="P272" s="3">
        <v>9</v>
      </c>
      <c r="Q272" s="3">
        <v>0</v>
      </c>
    </row>
    <row r="273" spans="1:17">
      <c r="A273" s="3" t="s">
        <v>301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15</v>
      </c>
      <c r="I273" s="3">
        <v>0</v>
      </c>
      <c r="J273" s="3">
        <v>0</v>
      </c>
      <c r="K273" s="3">
        <v>0</v>
      </c>
      <c r="L273" s="3">
        <v>30</v>
      </c>
      <c r="M273" s="3">
        <v>18</v>
      </c>
      <c r="N273" s="3">
        <v>19</v>
      </c>
      <c r="O273" s="3">
        <v>9</v>
      </c>
      <c r="P273" s="3">
        <v>0</v>
      </c>
      <c r="Q273" s="3">
        <v>0</v>
      </c>
    </row>
    <row r="274" spans="1:17">
      <c r="A274" s="3" t="s">
        <v>302</v>
      </c>
      <c r="B274" s="3">
        <v>0</v>
      </c>
      <c r="C274" s="3">
        <v>5</v>
      </c>
      <c r="D274" s="3">
        <v>38</v>
      </c>
      <c r="E274" s="3">
        <v>18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18</v>
      </c>
      <c r="M274" s="3">
        <v>0</v>
      </c>
      <c r="N274" s="3">
        <v>11</v>
      </c>
      <c r="O274" s="3">
        <v>0</v>
      </c>
      <c r="P274" s="3">
        <v>0</v>
      </c>
      <c r="Q274" s="3">
        <v>0</v>
      </c>
    </row>
    <row r="275" spans="1:17">
      <c r="A275" s="3" t="s">
        <v>303</v>
      </c>
      <c r="B275" s="3">
        <v>0</v>
      </c>
      <c r="C275" s="3">
        <v>7</v>
      </c>
      <c r="D275" s="3">
        <v>11</v>
      </c>
      <c r="E275" s="3">
        <v>11</v>
      </c>
      <c r="F275" s="3">
        <v>9</v>
      </c>
      <c r="G275" s="3">
        <v>10</v>
      </c>
      <c r="H275" s="3">
        <v>0</v>
      </c>
      <c r="I275" s="3">
        <v>0</v>
      </c>
      <c r="J275" s="3">
        <v>0</v>
      </c>
      <c r="K275" s="3">
        <v>0</v>
      </c>
      <c r="L275" s="3">
        <v>9</v>
      </c>
      <c r="M275" s="3">
        <v>9</v>
      </c>
      <c r="N275" s="3">
        <v>13</v>
      </c>
      <c r="O275" s="3">
        <v>10</v>
      </c>
      <c r="P275" s="3">
        <v>0</v>
      </c>
      <c r="Q275" s="3">
        <v>0</v>
      </c>
    </row>
    <row r="276" spans="1:17">
      <c r="A276" s="3" t="s">
        <v>304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41</v>
      </c>
      <c r="H276" s="3">
        <v>0</v>
      </c>
      <c r="I276" s="3">
        <v>0</v>
      </c>
      <c r="J276" s="3">
        <v>0</v>
      </c>
      <c r="K276" s="3">
        <v>33</v>
      </c>
      <c r="L276" s="3">
        <v>14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</row>
    <row r="277" spans="1:17">
      <c r="A277" s="3" t="s">
        <v>305</v>
      </c>
      <c r="B277" s="3">
        <v>8</v>
      </c>
      <c r="C277" s="3">
        <v>6</v>
      </c>
      <c r="D277" s="3">
        <v>0</v>
      </c>
      <c r="E277" s="3">
        <v>0</v>
      </c>
      <c r="F277" s="3">
        <v>14</v>
      </c>
      <c r="G277" s="3">
        <v>57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</row>
    <row r="278" spans="1:17">
      <c r="A278" s="3" t="s">
        <v>306</v>
      </c>
      <c r="B278" s="3">
        <v>9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27</v>
      </c>
      <c r="K278" s="3">
        <v>26</v>
      </c>
      <c r="L278" s="3">
        <v>12</v>
      </c>
      <c r="M278" s="3">
        <v>10</v>
      </c>
      <c r="N278" s="3">
        <v>0</v>
      </c>
      <c r="O278" s="3">
        <v>0</v>
      </c>
      <c r="P278" s="3">
        <v>0</v>
      </c>
      <c r="Q278" s="3">
        <v>0</v>
      </c>
    </row>
    <row r="279" spans="1:17">
      <c r="A279" s="3" t="s">
        <v>307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83</v>
      </c>
      <c r="Q279" s="3">
        <v>0</v>
      </c>
    </row>
    <row r="280" spans="1:17">
      <c r="A280" s="3" t="s">
        <v>308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16</v>
      </c>
      <c r="I280" s="3">
        <v>20</v>
      </c>
      <c r="J280" s="3">
        <v>0</v>
      </c>
      <c r="K280" s="3">
        <v>0</v>
      </c>
      <c r="L280" s="3">
        <v>7</v>
      </c>
      <c r="M280" s="3">
        <v>7</v>
      </c>
      <c r="N280" s="3">
        <v>5</v>
      </c>
      <c r="O280" s="3">
        <v>11</v>
      </c>
      <c r="P280" s="3">
        <v>11</v>
      </c>
      <c r="Q280" s="3">
        <v>2</v>
      </c>
    </row>
    <row r="281" spans="1:17">
      <c r="A281" s="3" t="s">
        <v>309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79</v>
      </c>
      <c r="Q281" s="3">
        <v>0</v>
      </c>
    </row>
    <row r="282" spans="1:17">
      <c r="A282" s="3" t="s">
        <v>310</v>
      </c>
      <c r="B282" s="3">
        <v>0</v>
      </c>
      <c r="C282" s="3">
        <v>0</v>
      </c>
      <c r="D282" s="3">
        <v>0</v>
      </c>
      <c r="E282" s="3">
        <v>77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</row>
    <row r="283" spans="1:17">
      <c r="A283" s="3" t="s">
        <v>311</v>
      </c>
      <c r="B283" s="3">
        <v>11</v>
      </c>
      <c r="C283" s="3">
        <v>5</v>
      </c>
      <c r="D283" s="3">
        <v>0</v>
      </c>
      <c r="E283" s="3">
        <v>27</v>
      </c>
      <c r="F283" s="3">
        <v>0</v>
      </c>
      <c r="G283" s="3">
        <v>12</v>
      </c>
      <c r="H283" s="3">
        <v>7</v>
      </c>
      <c r="I283" s="3">
        <v>14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</row>
    <row r="284" spans="1:17">
      <c r="A284" s="3" t="s">
        <v>312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76</v>
      </c>
      <c r="Q284" s="3">
        <v>0</v>
      </c>
    </row>
    <row r="285" spans="1:17">
      <c r="A285" s="3" t="s">
        <v>313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35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38</v>
      </c>
    </row>
    <row r="286" spans="1:17">
      <c r="A286" s="3" t="s">
        <v>314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73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</row>
    <row r="287" spans="1:17">
      <c r="A287" s="3" t="s">
        <v>315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16</v>
      </c>
      <c r="I287" s="3">
        <v>0</v>
      </c>
      <c r="J287" s="3">
        <v>0</v>
      </c>
      <c r="K287" s="3">
        <v>0</v>
      </c>
      <c r="L287" s="3">
        <v>38</v>
      </c>
      <c r="M287" s="3">
        <v>18</v>
      </c>
      <c r="N287" s="3">
        <v>0</v>
      </c>
      <c r="O287" s="3">
        <v>0</v>
      </c>
      <c r="P287" s="3">
        <v>0</v>
      </c>
      <c r="Q287" s="3">
        <v>0</v>
      </c>
    </row>
    <row r="288" spans="1:17">
      <c r="A288" s="3" t="s">
        <v>316</v>
      </c>
      <c r="B288" s="3">
        <v>15</v>
      </c>
      <c r="C288" s="3">
        <v>0</v>
      </c>
      <c r="D288" s="3">
        <v>0</v>
      </c>
      <c r="E288" s="3">
        <v>31</v>
      </c>
      <c r="F288" s="3">
        <v>16</v>
      </c>
      <c r="G288" s="3">
        <v>9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</row>
    <row r="289" spans="1:17">
      <c r="A289" s="3" t="s">
        <v>317</v>
      </c>
      <c r="B289" s="3">
        <v>10</v>
      </c>
      <c r="C289" s="3">
        <v>0</v>
      </c>
      <c r="D289" s="3">
        <v>3</v>
      </c>
      <c r="E289" s="3">
        <v>0</v>
      </c>
      <c r="F289" s="3">
        <v>0</v>
      </c>
      <c r="G289" s="3">
        <v>0</v>
      </c>
      <c r="H289" s="3">
        <v>4</v>
      </c>
      <c r="I289" s="3">
        <v>0</v>
      </c>
      <c r="J289" s="3">
        <v>8</v>
      </c>
      <c r="K289" s="3">
        <v>5</v>
      </c>
      <c r="L289" s="3">
        <v>10</v>
      </c>
      <c r="M289" s="3">
        <v>0</v>
      </c>
      <c r="N289" s="3">
        <v>12</v>
      </c>
      <c r="O289" s="3">
        <v>9</v>
      </c>
      <c r="P289" s="3">
        <v>6</v>
      </c>
      <c r="Q289" s="3">
        <v>3</v>
      </c>
    </row>
    <row r="290" spans="1:17">
      <c r="A290" s="3" t="s">
        <v>318</v>
      </c>
      <c r="B290" s="3">
        <v>0</v>
      </c>
      <c r="C290" s="3">
        <v>0</v>
      </c>
      <c r="D290" s="3">
        <v>0</v>
      </c>
      <c r="E290" s="3">
        <v>0</v>
      </c>
      <c r="F290" s="3">
        <v>21</v>
      </c>
      <c r="G290" s="3">
        <v>14</v>
      </c>
      <c r="H290" s="3">
        <v>0</v>
      </c>
      <c r="I290" s="3">
        <v>0</v>
      </c>
      <c r="J290" s="3">
        <v>0</v>
      </c>
      <c r="K290" s="3">
        <v>0</v>
      </c>
      <c r="L290" s="3">
        <v>35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</row>
    <row r="291" spans="1:17">
      <c r="A291" s="3" t="s">
        <v>319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49</v>
      </c>
      <c r="K291" s="3">
        <v>7</v>
      </c>
      <c r="L291" s="3">
        <v>6</v>
      </c>
      <c r="M291" s="3">
        <v>7</v>
      </c>
      <c r="N291" s="3">
        <v>0</v>
      </c>
      <c r="O291" s="3">
        <v>0</v>
      </c>
      <c r="P291" s="3">
        <v>0</v>
      </c>
      <c r="Q291" s="3">
        <v>0</v>
      </c>
    </row>
    <row r="292" spans="1:17">
      <c r="A292" s="3" t="s">
        <v>320</v>
      </c>
      <c r="B292" s="3">
        <v>12</v>
      </c>
      <c r="C292" s="3">
        <v>6</v>
      </c>
      <c r="D292" s="3">
        <v>0</v>
      </c>
      <c r="E292" s="3">
        <v>3</v>
      </c>
      <c r="F292" s="3">
        <v>0</v>
      </c>
      <c r="G292" s="3">
        <v>10</v>
      </c>
      <c r="H292" s="3">
        <v>5</v>
      </c>
      <c r="I292" s="3">
        <v>4</v>
      </c>
      <c r="J292" s="3">
        <v>7</v>
      </c>
      <c r="K292" s="3">
        <v>3</v>
      </c>
      <c r="L292" s="3">
        <v>0</v>
      </c>
      <c r="M292" s="3">
        <v>13</v>
      </c>
      <c r="N292" s="3">
        <v>4</v>
      </c>
      <c r="O292" s="3">
        <v>0</v>
      </c>
      <c r="P292" s="3">
        <v>0</v>
      </c>
      <c r="Q292" s="3">
        <v>0</v>
      </c>
    </row>
    <row r="293" spans="1:17">
      <c r="A293" s="3" t="s">
        <v>321</v>
      </c>
      <c r="B293" s="3">
        <v>3</v>
      </c>
      <c r="C293" s="3">
        <v>4</v>
      </c>
      <c r="D293" s="3">
        <v>0</v>
      </c>
      <c r="E293" s="3">
        <v>7</v>
      </c>
      <c r="F293" s="3">
        <v>0</v>
      </c>
      <c r="G293" s="3">
        <v>5</v>
      </c>
      <c r="H293" s="3">
        <v>14</v>
      </c>
      <c r="I293" s="3">
        <v>11</v>
      </c>
      <c r="J293" s="3">
        <v>0</v>
      </c>
      <c r="K293" s="3">
        <v>0</v>
      </c>
      <c r="L293" s="3">
        <v>7</v>
      </c>
      <c r="M293" s="3">
        <v>12</v>
      </c>
      <c r="N293" s="3">
        <v>4</v>
      </c>
      <c r="O293" s="3">
        <v>0</v>
      </c>
      <c r="P293" s="3">
        <v>0</v>
      </c>
      <c r="Q293" s="3">
        <v>0</v>
      </c>
    </row>
    <row r="294" spans="1:17">
      <c r="A294" s="3" t="s">
        <v>322</v>
      </c>
      <c r="B294" s="3">
        <v>65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</row>
    <row r="295" spans="1:17">
      <c r="A295" s="3" t="s">
        <v>323</v>
      </c>
      <c r="B295" s="3">
        <v>0</v>
      </c>
      <c r="C295" s="3">
        <v>0</v>
      </c>
      <c r="D295" s="3">
        <v>12</v>
      </c>
      <c r="E295" s="3">
        <v>15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19</v>
      </c>
      <c r="M295" s="3">
        <v>12</v>
      </c>
      <c r="N295" s="3">
        <v>0</v>
      </c>
      <c r="O295" s="3">
        <v>0</v>
      </c>
      <c r="P295" s="3">
        <v>0</v>
      </c>
      <c r="Q295" s="3">
        <v>7</v>
      </c>
    </row>
    <row r="296" spans="1:17">
      <c r="A296" s="3" t="s">
        <v>324</v>
      </c>
      <c r="B296" s="3">
        <v>24</v>
      </c>
      <c r="C296" s="3">
        <v>9</v>
      </c>
      <c r="D296" s="3">
        <v>0</v>
      </c>
      <c r="E296" s="3">
        <v>11</v>
      </c>
      <c r="F296" s="3">
        <v>5</v>
      </c>
      <c r="G296" s="3">
        <v>11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4</v>
      </c>
    </row>
    <row r="297" spans="1:17">
      <c r="A297" s="3" t="s">
        <v>325</v>
      </c>
      <c r="B297" s="3">
        <v>0</v>
      </c>
      <c r="C297" s="3">
        <v>0</v>
      </c>
      <c r="D297" s="3">
        <v>1</v>
      </c>
      <c r="E297" s="3">
        <v>0</v>
      </c>
      <c r="F297" s="3">
        <v>0</v>
      </c>
      <c r="G297" s="3">
        <v>0</v>
      </c>
      <c r="H297" s="3">
        <v>0</v>
      </c>
      <c r="I297" s="3">
        <v>15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48</v>
      </c>
      <c r="P297" s="3">
        <v>0</v>
      </c>
      <c r="Q297" s="3">
        <v>0</v>
      </c>
    </row>
    <row r="298" spans="1:17">
      <c r="A298" s="3" t="s">
        <v>326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64</v>
      </c>
      <c r="Q298" s="3">
        <v>0</v>
      </c>
    </row>
    <row r="299" spans="1:17">
      <c r="A299" s="3" t="s">
        <v>327</v>
      </c>
      <c r="B299" s="3">
        <v>0</v>
      </c>
      <c r="C299" s="3">
        <v>22</v>
      </c>
      <c r="D299" s="3">
        <v>11</v>
      </c>
      <c r="E299" s="3">
        <v>0</v>
      </c>
      <c r="F299" s="3">
        <v>0</v>
      </c>
      <c r="G299" s="3">
        <v>0</v>
      </c>
      <c r="H299" s="3">
        <v>0</v>
      </c>
      <c r="I299" s="3">
        <v>14</v>
      </c>
      <c r="J299" s="3">
        <v>0</v>
      </c>
      <c r="K299" s="3">
        <v>0</v>
      </c>
      <c r="L299" s="3">
        <v>16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</row>
    <row r="300" spans="1:17">
      <c r="A300" s="3" t="s">
        <v>328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3</v>
      </c>
      <c r="J300" s="3">
        <v>17</v>
      </c>
      <c r="K300" s="3">
        <v>6</v>
      </c>
      <c r="L300" s="3">
        <v>13</v>
      </c>
      <c r="M300" s="3">
        <v>9</v>
      </c>
      <c r="N300" s="3">
        <v>10</v>
      </c>
      <c r="O300" s="3">
        <v>0</v>
      </c>
      <c r="P300" s="3">
        <v>4</v>
      </c>
      <c r="Q300" s="3">
        <v>0</v>
      </c>
    </row>
    <row r="301" spans="1:17">
      <c r="A301" s="3" t="s">
        <v>329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25</v>
      </c>
      <c r="K301" s="3">
        <v>20</v>
      </c>
      <c r="L301" s="3">
        <v>0</v>
      </c>
      <c r="M301" s="3">
        <v>0</v>
      </c>
      <c r="N301" s="3">
        <v>0</v>
      </c>
      <c r="O301" s="3">
        <v>17</v>
      </c>
      <c r="P301" s="3">
        <v>0</v>
      </c>
      <c r="Q301" s="3">
        <v>0</v>
      </c>
    </row>
    <row r="302" spans="1:17">
      <c r="A302" s="3" t="s">
        <v>330</v>
      </c>
      <c r="B302" s="3">
        <v>0</v>
      </c>
      <c r="C302" s="3">
        <v>0</v>
      </c>
      <c r="D302" s="3">
        <v>0</v>
      </c>
      <c r="E302" s="3">
        <v>7</v>
      </c>
      <c r="F302" s="3">
        <v>0</v>
      </c>
      <c r="G302" s="3">
        <v>0</v>
      </c>
      <c r="H302" s="3">
        <v>28</v>
      </c>
      <c r="I302" s="3">
        <v>26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</row>
    <row r="303" spans="1:17">
      <c r="A303" s="3" t="s">
        <v>331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39</v>
      </c>
      <c r="I303" s="3">
        <v>21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</row>
    <row r="304" spans="1:17">
      <c r="A304" s="3" t="s">
        <v>332</v>
      </c>
      <c r="B304" s="3">
        <v>11</v>
      </c>
      <c r="C304" s="3">
        <v>0</v>
      </c>
      <c r="D304" s="3">
        <v>7</v>
      </c>
      <c r="E304" s="3">
        <v>0</v>
      </c>
      <c r="F304" s="3">
        <v>8</v>
      </c>
      <c r="G304" s="3">
        <v>5</v>
      </c>
      <c r="H304" s="3">
        <v>0</v>
      </c>
      <c r="I304" s="3">
        <v>0</v>
      </c>
      <c r="J304" s="3">
        <v>25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3</v>
      </c>
      <c r="Q304" s="3">
        <v>0</v>
      </c>
    </row>
    <row r="305" spans="1:17">
      <c r="A305" s="3" t="s">
        <v>333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29</v>
      </c>
      <c r="H305" s="3">
        <v>29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</row>
    <row r="306" spans="1:17">
      <c r="A306" s="3" t="s">
        <v>334</v>
      </c>
      <c r="B306" s="3">
        <v>7</v>
      </c>
      <c r="C306" s="3">
        <v>5</v>
      </c>
      <c r="D306" s="3">
        <v>9</v>
      </c>
      <c r="E306" s="3">
        <v>0</v>
      </c>
      <c r="F306" s="3">
        <v>0</v>
      </c>
      <c r="G306" s="3">
        <v>6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10</v>
      </c>
      <c r="N306" s="3">
        <v>6</v>
      </c>
      <c r="O306" s="3">
        <v>0</v>
      </c>
      <c r="P306" s="3">
        <v>5</v>
      </c>
      <c r="Q306" s="3">
        <v>9</v>
      </c>
    </row>
    <row r="307" spans="1:17">
      <c r="A307" s="3" t="s">
        <v>335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5</v>
      </c>
      <c r="I307" s="3">
        <v>5</v>
      </c>
      <c r="J307" s="3">
        <v>0</v>
      </c>
      <c r="K307" s="3">
        <v>0</v>
      </c>
      <c r="L307" s="3">
        <v>0</v>
      </c>
      <c r="M307" s="3">
        <v>0</v>
      </c>
      <c r="N307" s="3">
        <v>18</v>
      </c>
      <c r="O307" s="3">
        <v>28</v>
      </c>
      <c r="P307" s="3">
        <v>0</v>
      </c>
      <c r="Q307" s="3">
        <v>0</v>
      </c>
    </row>
    <row r="308" spans="1:17">
      <c r="A308" s="3" t="s">
        <v>336</v>
      </c>
      <c r="B308" s="3">
        <v>0</v>
      </c>
      <c r="C308" s="3">
        <v>0</v>
      </c>
      <c r="D308" s="3">
        <v>0</v>
      </c>
      <c r="E308" s="3">
        <v>0</v>
      </c>
      <c r="F308" s="3">
        <v>5</v>
      </c>
      <c r="G308" s="3">
        <v>0</v>
      </c>
      <c r="H308" s="3">
        <v>0</v>
      </c>
      <c r="I308" s="3">
        <v>0</v>
      </c>
      <c r="J308" s="3">
        <v>46</v>
      </c>
      <c r="K308" s="3">
        <v>0</v>
      </c>
      <c r="L308" s="3">
        <v>4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</row>
    <row r="309" spans="1:17">
      <c r="A309" s="3" t="s">
        <v>337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12</v>
      </c>
      <c r="N309" s="3">
        <v>43</v>
      </c>
      <c r="O309" s="3">
        <v>0</v>
      </c>
      <c r="P309" s="3">
        <v>0</v>
      </c>
      <c r="Q309" s="3">
        <v>0</v>
      </c>
    </row>
    <row r="310" spans="1:17">
      <c r="A310" s="3" t="s">
        <v>338</v>
      </c>
      <c r="B310" s="3">
        <v>0</v>
      </c>
      <c r="C310" s="3">
        <v>5</v>
      </c>
      <c r="D310" s="3">
        <v>0</v>
      </c>
      <c r="E310" s="3">
        <v>6</v>
      </c>
      <c r="F310" s="3">
        <v>0</v>
      </c>
      <c r="G310" s="3">
        <v>0</v>
      </c>
      <c r="H310" s="3">
        <v>2</v>
      </c>
      <c r="I310" s="3">
        <v>1</v>
      </c>
      <c r="J310" s="3">
        <v>0</v>
      </c>
      <c r="K310" s="3">
        <v>0</v>
      </c>
      <c r="L310" s="3">
        <v>2</v>
      </c>
      <c r="M310" s="3">
        <v>38</v>
      </c>
      <c r="N310" s="3">
        <v>0</v>
      </c>
      <c r="O310" s="3">
        <v>0</v>
      </c>
      <c r="P310" s="3">
        <v>0</v>
      </c>
      <c r="Q310" s="3">
        <v>0</v>
      </c>
    </row>
    <row r="311" spans="1:17">
      <c r="A311" s="3" t="s">
        <v>339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29</v>
      </c>
      <c r="I311" s="3">
        <v>0</v>
      </c>
      <c r="J311" s="3">
        <v>0</v>
      </c>
      <c r="K311" s="3">
        <v>0</v>
      </c>
      <c r="L311" s="3">
        <v>11</v>
      </c>
      <c r="M311" s="3">
        <v>14</v>
      </c>
      <c r="N311" s="3">
        <v>0</v>
      </c>
      <c r="O311" s="3">
        <v>0</v>
      </c>
      <c r="P311" s="3">
        <v>0</v>
      </c>
      <c r="Q311" s="3">
        <v>0</v>
      </c>
    </row>
    <row r="312" spans="1:17">
      <c r="A312" s="3" t="s">
        <v>340</v>
      </c>
      <c r="B312" s="3">
        <v>0</v>
      </c>
      <c r="C312" s="3">
        <v>0</v>
      </c>
      <c r="D312" s="3">
        <v>0</v>
      </c>
      <c r="E312" s="3">
        <v>7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3</v>
      </c>
      <c r="L312" s="3">
        <v>6</v>
      </c>
      <c r="M312" s="3">
        <v>14</v>
      </c>
      <c r="N312" s="3">
        <v>0</v>
      </c>
      <c r="O312" s="3">
        <v>0</v>
      </c>
      <c r="P312" s="3">
        <v>7</v>
      </c>
      <c r="Q312" s="3">
        <v>16</v>
      </c>
    </row>
    <row r="313" spans="1:17">
      <c r="A313" s="3" t="s">
        <v>341</v>
      </c>
      <c r="B313" s="3">
        <v>52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</row>
    <row r="314" spans="1:17">
      <c r="A314" s="3" t="s">
        <v>342</v>
      </c>
      <c r="B314" s="3">
        <v>0</v>
      </c>
      <c r="C314" s="3">
        <v>15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20</v>
      </c>
      <c r="P314" s="3">
        <v>1</v>
      </c>
      <c r="Q314" s="3">
        <v>16</v>
      </c>
    </row>
    <row r="315" spans="1:17">
      <c r="A315" s="3" t="s">
        <v>343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26</v>
      </c>
      <c r="K315" s="3">
        <v>9</v>
      </c>
      <c r="L315" s="3">
        <v>14</v>
      </c>
      <c r="M315" s="3">
        <v>0</v>
      </c>
      <c r="N315" s="3">
        <v>0</v>
      </c>
      <c r="O315" s="3">
        <v>0</v>
      </c>
      <c r="P315" s="3">
        <v>3</v>
      </c>
      <c r="Q315" s="3">
        <v>0</v>
      </c>
    </row>
    <row r="316" spans="1:17">
      <c r="A316" s="3" t="s">
        <v>344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21</v>
      </c>
      <c r="P316" s="3">
        <v>31</v>
      </c>
      <c r="Q316" s="3">
        <v>0</v>
      </c>
    </row>
    <row r="317" spans="1:17">
      <c r="A317" s="3" t="s">
        <v>345</v>
      </c>
      <c r="B317" s="3">
        <v>0</v>
      </c>
      <c r="C317" s="3">
        <v>0</v>
      </c>
      <c r="D317" s="3">
        <v>51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</row>
    <row r="318" spans="1:17">
      <c r="A318" s="3" t="s">
        <v>346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26</v>
      </c>
      <c r="I318" s="3">
        <v>24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</row>
    <row r="319" spans="1:17">
      <c r="A319" s="3" t="s">
        <v>347</v>
      </c>
      <c r="B319" s="3">
        <v>48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</row>
    <row r="320" spans="1:17">
      <c r="A320" s="3" t="s">
        <v>348</v>
      </c>
      <c r="B320" s="3">
        <v>9</v>
      </c>
      <c r="C320" s="3">
        <v>16</v>
      </c>
      <c r="D320" s="3">
        <v>12</v>
      </c>
      <c r="E320" s="3">
        <v>11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</row>
    <row r="321" spans="1:17">
      <c r="A321" s="3" t="s">
        <v>349</v>
      </c>
      <c r="B321" s="3">
        <v>29</v>
      </c>
      <c r="C321" s="3">
        <v>18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</row>
    <row r="322" spans="1:17">
      <c r="A322" s="3" t="s">
        <v>350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47</v>
      </c>
      <c r="O322" s="3">
        <v>0</v>
      </c>
      <c r="P322" s="3">
        <v>0</v>
      </c>
      <c r="Q322" s="3">
        <v>0</v>
      </c>
    </row>
    <row r="323" spans="1:17">
      <c r="A323" s="3" t="s">
        <v>351</v>
      </c>
      <c r="B323" s="3">
        <v>12</v>
      </c>
      <c r="C323" s="3">
        <v>0</v>
      </c>
      <c r="D323" s="3">
        <v>12</v>
      </c>
      <c r="E323" s="3">
        <v>0</v>
      </c>
      <c r="F323" s="3">
        <v>0</v>
      </c>
      <c r="G323" s="3">
        <v>0</v>
      </c>
      <c r="H323" s="3">
        <v>10</v>
      </c>
      <c r="I323" s="3">
        <v>11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</row>
    <row r="324" spans="1:17">
      <c r="A324" s="3" t="s">
        <v>352</v>
      </c>
      <c r="B324" s="3">
        <v>6</v>
      </c>
      <c r="C324" s="3">
        <v>8</v>
      </c>
      <c r="D324" s="3">
        <v>5</v>
      </c>
      <c r="E324" s="3">
        <v>0</v>
      </c>
      <c r="F324" s="3">
        <v>7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6</v>
      </c>
      <c r="M324" s="3">
        <v>7</v>
      </c>
      <c r="N324" s="3">
        <v>0</v>
      </c>
      <c r="O324" s="3">
        <v>0</v>
      </c>
      <c r="P324" s="3">
        <v>5</v>
      </c>
      <c r="Q324" s="3">
        <v>0</v>
      </c>
    </row>
    <row r="325" spans="1:17">
      <c r="A325" s="3" t="s">
        <v>353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8</v>
      </c>
      <c r="H325" s="3">
        <v>0</v>
      </c>
      <c r="I325" s="3">
        <v>0</v>
      </c>
      <c r="J325" s="3">
        <v>0</v>
      </c>
      <c r="K325" s="3">
        <v>0</v>
      </c>
      <c r="L325" s="3">
        <v>24</v>
      </c>
      <c r="M325" s="3">
        <v>12</v>
      </c>
      <c r="N325" s="3">
        <v>0</v>
      </c>
      <c r="O325" s="3">
        <v>0</v>
      </c>
      <c r="P325" s="3">
        <v>0</v>
      </c>
      <c r="Q325" s="3">
        <v>0</v>
      </c>
    </row>
    <row r="326" spans="1:17">
      <c r="A326" s="3" t="s">
        <v>354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12</v>
      </c>
      <c r="I326" s="3">
        <v>22</v>
      </c>
      <c r="J326" s="3">
        <v>0</v>
      </c>
      <c r="K326" s="3">
        <v>0</v>
      </c>
      <c r="L326" s="3">
        <v>10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</row>
    <row r="327" spans="1:17">
      <c r="A327" s="3" t="s">
        <v>355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39</v>
      </c>
      <c r="K327" s="3">
        <v>5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</row>
    <row r="328" spans="1:17">
      <c r="A328" s="3" t="s">
        <v>356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29</v>
      </c>
      <c r="K328" s="3">
        <v>12</v>
      </c>
      <c r="L328" s="3">
        <v>2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</row>
    <row r="329" spans="1:17">
      <c r="A329" s="3" t="s">
        <v>357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43</v>
      </c>
    </row>
    <row r="330" spans="1:17">
      <c r="A330" s="3" t="s">
        <v>358</v>
      </c>
      <c r="B330" s="3">
        <v>42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</row>
    <row r="331" spans="1:17">
      <c r="A331" s="3" t="s">
        <v>359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8</v>
      </c>
      <c r="I331" s="3">
        <v>0</v>
      </c>
      <c r="J331" s="3">
        <v>0</v>
      </c>
      <c r="K331" s="3">
        <v>0</v>
      </c>
      <c r="L331" s="3">
        <v>13</v>
      </c>
      <c r="M331" s="3">
        <v>21</v>
      </c>
      <c r="N331" s="3">
        <v>0</v>
      </c>
      <c r="O331" s="3">
        <v>0</v>
      </c>
      <c r="P331" s="3">
        <v>0</v>
      </c>
      <c r="Q331" s="3">
        <v>0</v>
      </c>
    </row>
    <row r="332" spans="1:17">
      <c r="A332" s="3" t="s">
        <v>360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42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</row>
    <row r="333" spans="1:17">
      <c r="A333" s="3" t="s">
        <v>361</v>
      </c>
      <c r="B333" s="3">
        <v>0</v>
      </c>
      <c r="C333" s="3">
        <v>0</v>
      </c>
      <c r="D333" s="3">
        <v>0</v>
      </c>
      <c r="E333" s="3">
        <v>0</v>
      </c>
      <c r="F333" s="3">
        <v>5</v>
      </c>
      <c r="G333" s="3">
        <v>0</v>
      </c>
      <c r="H333" s="3">
        <v>0</v>
      </c>
      <c r="I333" s="3">
        <v>0</v>
      </c>
      <c r="J333" s="3">
        <v>0</v>
      </c>
      <c r="K333" s="3">
        <v>9</v>
      </c>
      <c r="L333" s="3">
        <v>0</v>
      </c>
      <c r="M333" s="3">
        <v>5</v>
      </c>
      <c r="N333" s="3">
        <v>0</v>
      </c>
      <c r="O333" s="3">
        <v>0</v>
      </c>
      <c r="P333" s="3">
        <v>8</v>
      </c>
      <c r="Q333" s="3">
        <v>14</v>
      </c>
    </row>
    <row r="334" spans="1:17">
      <c r="A334" s="3" t="s">
        <v>362</v>
      </c>
      <c r="B334" s="3">
        <v>8</v>
      </c>
      <c r="C334" s="3">
        <v>0</v>
      </c>
      <c r="D334" s="3">
        <v>0</v>
      </c>
      <c r="E334" s="3">
        <v>0</v>
      </c>
      <c r="F334" s="3">
        <v>0</v>
      </c>
      <c r="G334" s="3">
        <v>12</v>
      </c>
      <c r="H334" s="3">
        <v>0</v>
      </c>
      <c r="I334" s="3">
        <v>0</v>
      </c>
      <c r="J334" s="3">
        <v>0</v>
      </c>
      <c r="K334" s="3">
        <v>0</v>
      </c>
      <c r="L334" s="3">
        <v>16</v>
      </c>
      <c r="M334" s="3">
        <v>0</v>
      </c>
      <c r="N334" s="3">
        <v>0</v>
      </c>
      <c r="O334" s="3">
        <v>0</v>
      </c>
      <c r="P334" s="3">
        <v>0</v>
      </c>
      <c r="Q334" s="3">
        <v>4</v>
      </c>
    </row>
    <row r="335" spans="1:17">
      <c r="A335" s="3" t="s">
        <v>363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11</v>
      </c>
      <c r="I335" s="3">
        <v>0</v>
      </c>
      <c r="J335" s="3">
        <v>0</v>
      </c>
      <c r="K335" s="3">
        <v>0</v>
      </c>
      <c r="L335" s="3">
        <v>0</v>
      </c>
      <c r="M335" s="3">
        <v>29</v>
      </c>
      <c r="N335" s="3">
        <v>0</v>
      </c>
      <c r="O335" s="3">
        <v>0</v>
      </c>
      <c r="P335" s="3">
        <v>0</v>
      </c>
      <c r="Q335" s="3">
        <v>0</v>
      </c>
    </row>
    <row r="336" spans="1:17">
      <c r="A336" s="3" t="s">
        <v>364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40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</row>
    <row r="337" spans="1:17">
      <c r="A337" s="3" t="s">
        <v>365</v>
      </c>
      <c r="B337" s="3">
        <v>0</v>
      </c>
      <c r="C337" s="3">
        <v>0</v>
      </c>
      <c r="D337" s="3">
        <v>25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14</v>
      </c>
      <c r="Q337" s="3">
        <v>0</v>
      </c>
    </row>
    <row r="338" spans="1:17">
      <c r="A338" s="3" t="s">
        <v>366</v>
      </c>
      <c r="B338" s="3">
        <v>14</v>
      </c>
      <c r="C338" s="3">
        <v>0</v>
      </c>
      <c r="D338" s="3">
        <v>9</v>
      </c>
      <c r="E338" s="3">
        <v>8</v>
      </c>
      <c r="F338" s="3">
        <v>0</v>
      </c>
      <c r="G338" s="3">
        <v>0</v>
      </c>
      <c r="H338" s="3">
        <v>7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</row>
    <row r="339" spans="1:17">
      <c r="A339" s="3" t="s">
        <v>367</v>
      </c>
      <c r="B339" s="3">
        <v>7</v>
      </c>
      <c r="C339" s="3">
        <v>0</v>
      </c>
      <c r="D339" s="3">
        <v>0</v>
      </c>
      <c r="E339" s="3">
        <v>9</v>
      </c>
      <c r="F339" s="3">
        <v>3</v>
      </c>
      <c r="G339" s="3">
        <v>7</v>
      </c>
      <c r="H339" s="3">
        <v>0</v>
      </c>
      <c r="I339" s="3">
        <v>2</v>
      </c>
      <c r="J339" s="3">
        <v>0</v>
      </c>
      <c r="K339" s="3">
        <v>8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</row>
    <row r="340" spans="1:17">
      <c r="A340" s="3" t="s">
        <v>368</v>
      </c>
      <c r="B340" s="3">
        <v>0</v>
      </c>
      <c r="C340" s="3">
        <v>0</v>
      </c>
      <c r="D340" s="3">
        <v>0</v>
      </c>
      <c r="E340" s="3">
        <v>0</v>
      </c>
      <c r="F340" s="3">
        <v>14</v>
      </c>
      <c r="G340" s="3">
        <v>22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</row>
    <row r="341" spans="1:17">
      <c r="A341" s="3" t="s">
        <v>369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36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</row>
    <row r="342" spans="1:17">
      <c r="A342" s="3" t="s">
        <v>370</v>
      </c>
      <c r="B342" s="3">
        <v>0</v>
      </c>
      <c r="C342" s="3">
        <v>0</v>
      </c>
      <c r="D342" s="3">
        <v>16</v>
      </c>
      <c r="E342" s="3">
        <v>0</v>
      </c>
      <c r="F342" s="3">
        <v>0</v>
      </c>
      <c r="G342" s="3">
        <v>0</v>
      </c>
      <c r="H342" s="3">
        <v>18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</row>
    <row r="343" spans="1:17">
      <c r="A343" s="3" t="s">
        <v>371</v>
      </c>
      <c r="B343" s="3">
        <v>0</v>
      </c>
      <c r="C343" s="3">
        <v>0</v>
      </c>
      <c r="D343" s="3">
        <v>13</v>
      </c>
      <c r="E343" s="3">
        <v>10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11</v>
      </c>
    </row>
    <row r="344" spans="1:17">
      <c r="A344" s="3" t="s">
        <v>372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34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</row>
    <row r="345" spans="1:17">
      <c r="A345" s="3" t="s">
        <v>373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34</v>
      </c>
      <c r="Q345" s="3">
        <v>0</v>
      </c>
    </row>
    <row r="346" spans="1:17">
      <c r="A346" s="3" t="s">
        <v>374</v>
      </c>
      <c r="B346" s="3">
        <v>9</v>
      </c>
      <c r="C346" s="3">
        <v>8</v>
      </c>
      <c r="D346" s="3">
        <v>0</v>
      </c>
      <c r="E346" s="3">
        <v>0</v>
      </c>
      <c r="F346" s="3">
        <v>7</v>
      </c>
      <c r="G346" s="3">
        <v>0</v>
      </c>
      <c r="H346" s="3">
        <v>5</v>
      </c>
      <c r="I346" s="3">
        <v>0</v>
      </c>
      <c r="J346" s="3">
        <v>0</v>
      </c>
      <c r="K346" s="3">
        <v>4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</row>
    <row r="347" spans="1:17">
      <c r="A347" s="3" t="s">
        <v>375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33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</row>
    <row r="348" spans="1:17">
      <c r="A348" s="3" t="s">
        <v>376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7</v>
      </c>
      <c r="K348" s="3">
        <v>0</v>
      </c>
      <c r="L348" s="3">
        <v>0</v>
      </c>
      <c r="M348" s="3">
        <v>0</v>
      </c>
      <c r="N348" s="3">
        <v>19</v>
      </c>
      <c r="O348" s="3">
        <v>7</v>
      </c>
      <c r="P348" s="3">
        <v>0</v>
      </c>
      <c r="Q348" s="3">
        <v>0</v>
      </c>
    </row>
    <row r="349" spans="1:17">
      <c r="A349" s="3" t="s">
        <v>377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33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</row>
    <row r="350" spans="1:17">
      <c r="A350" s="3" t="s">
        <v>378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33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</row>
    <row r="351" spans="1:17">
      <c r="A351" s="3" t="s">
        <v>379</v>
      </c>
      <c r="B351" s="3">
        <v>0</v>
      </c>
      <c r="C351" s="3">
        <v>7</v>
      </c>
      <c r="D351" s="3">
        <v>0</v>
      </c>
      <c r="E351" s="3">
        <v>0</v>
      </c>
      <c r="F351" s="3">
        <v>14</v>
      </c>
      <c r="G351" s="3">
        <v>4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7</v>
      </c>
      <c r="Q351" s="3">
        <v>0</v>
      </c>
    </row>
    <row r="352" spans="1:17">
      <c r="A352" s="3" t="s">
        <v>380</v>
      </c>
      <c r="B352" s="3">
        <v>0</v>
      </c>
      <c r="C352" s="3">
        <v>0</v>
      </c>
      <c r="D352" s="3">
        <v>11</v>
      </c>
      <c r="E352" s="3">
        <v>6</v>
      </c>
      <c r="F352" s="3">
        <v>0</v>
      </c>
      <c r="G352" s="3">
        <v>2</v>
      </c>
      <c r="H352" s="3">
        <v>4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9</v>
      </c>
    </row>
    <row r="353" spans="1:17">
      <c r="A353" s="3" t="s">
        <v>381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32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</row>
    <row r="354" spans="1:17">
      <c r="A354" s="3" t="s">
        <v>382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14</v>
      </c>
      <c r="I354" s="3">
        <v>0</v>
      </c>
      <c r="J354" s="3">
        <v>0</v>
      </c>
      <c r="K354" s="3">
        <v>0</v>
      </c>
      <c r="L354" s="3">
        <v>18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</row>
    <row r="355" spans="1:17">
      <c r="A355" s="3" t="s">
        <v>383</v>
      </c>
      <c r="B355" s="3">
        <v>8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4</v>
      </c>
      <c r="P355" s="3">
        <v>0</v>
      </c>
      <c r="Q355" s="3">
        <v>19</v>
      </c>
    </row>
    <row r="356" spans="1:17">
      <c r="A356" s="3" t="s">
        <v>384</v>
      </c>
      <c r="B356" s="3">
        <v>0</v>
      </c>
      <c r="C356" s="3">
        <v>10</v>
      </c>
      <c r="D356" s="3">
        <v>0</v>
      </c>
      <c r="E356" s="3">
        <v>0</v>
      </c>
      <c r="F356" s="3">
        <v>0</v>
      </c>
      <c r="G356" s="3">
        <v>0</v>
      </c>
      <c r="H356" s="3">
        <v>21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</row>
    <row r="357" spans="1:17">
      <c r="A357" s="3" t="s">
        <v>385</v>
      </c>
      <c r="B357" s="3">
        <v>0</v>
      </c>
      <c r="C357" s="3">
        <v>0</v>
      </c>
      <c r="D357" s="3">
        <v>0</v>
      </c>
      <c r="E357" s="3">
        <v>15</v>
      </c>
      <c r="F357" s="3">
        <v>16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</row>
    <row r="358" spans="1:17">
      <c r="A358" s="3" t="s">
        <v>386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31</v>
      </c>
      <c r="N358" s="3">
        <v>0</v>
      </c>
      <c r="O358" s="3">
        <v>0</v>
      </c>
      <c r="P358" s="3">
        <v>0</v>
      </c>
      <c r="Q358" s="3">
        <v>0</v>
      </c>
    </row>
    <row r="359" spans="1:17">
      <c r="A359" s="3" t="s">
        <v>387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31</v>
      </c>
      <c r="Q359" s="3">
        <v>0</v>
      </c>
    </row>
    <row r="360" spans="1:17">
      <c r="A360" s="3" t="s">
        <v>388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30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</row>
    <row r="361" spans="1:17">
      <c r="A361" s="3" t="s">
        <v>389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30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</row>
    <row r="362" spans="1:17">
      <c r="A362" s="3" t="s">
        <v>390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10</v>
      </c>
      <c r="I362" s="3">
        <v>7</v>
      </c>
      <c r="J362" s="3">
        <v>0</v>
      </c>
      <c r="K362" s="3">
        <v>0</v>
      </c>
      <c r="L362" s="3">
        <v>0</v>
      </c>
      <c r="M362" s="3">
        <v>12</v>
      </c>
      <c r="N362" s="3">
        <v>0</v>
      </c>
      <c r="O362" s="3">
        <v>0</v>
      </c>
      <c r="P362" s="3">
        <v>0</v>
      </c>
      <c r="Q362" s="3">
        <v>0</v>
      </c>
    </row>
    <row r="363" spans="1:17">
      <c r="A363" s="3" t="s">
        <v>391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29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</row>
    <row r="364" spans="1:17">
      <c r="A364" s="3" t="s">
        <v>392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17</v>
      </c>
      <c r="I364" s="3">
        <v>0</v>
      </c>
      <c r="J364" s="3">
        <v>0</v>
      </c>
      <c r="K364" s="3">
        <v>0</v>
      </c>
      <c r="L364" s="3">
        <v>11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</row>
    <row r="365" spans="1:17">
      <c r="A365" s="3" t="s">
        <v>393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28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</row>
    <row r="366" spans="1:17">
      <c r="A366" s="3" t="s">
        <v>394</v>
      </c>
      <c r="B366" s="3">
        <v>13</v>
      </c>
      <c r="C366" s="3">
        <v>7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3</v>
      </c>
      <c r="K366" s="3">
        <v>0</v>
      </c>
      <c r="L366" s="3">
        <v>0</v>
      </c>
      <c r="M366" s="3">
        <v>0</v>
      </c>
      <c r="N366" s="3">
        <v>0</v>
      </c>
      <c r="O366" s="3">
        <v>4</v>
      </c>
      <c r="P366" s="3">
        <v>0</v>
      </c>
      <c r="Q366" s="3">
        <v>0</v>
      </c>
    </row>
    <row r="367" spans="1:17">
      <c r="A367" s="3" t="s">
        <v>395</v>
      </c>
      <c r="B367" s="3">
        <v>0</v>
      </c>
      <c r="C367" s="3">
        <v>0</v>
      </c>
      <c r="D367" s="3">
        <v>7</v>
      </c>
      <c r="E367" s="3">
        <v>0</v>
      </c>
      <c r="F367" s="3">
        <v>0</v>
      </c>
      <c r="G367" s="3">
        <v>8</v>
      </c>
      <c r="H367" s="3">
        <v>0</v>
      </c>
      <c r="I367" s="3">
        <v>7</v>
      </c>
      <c r="J367" s="3">
        <v>0</v>
      </c>
      <c r="K367" s="3">
        <v>0</v>
      </c>
      <c r="L367" s="3">
        <v>0</v>
      </c>
      <c r="M367" s="3">
        <v>5</v>
      </c>
      <c r="N367" s="3">
        <v>0</v>
      </c>
      <c r="O367" s="3">
        <v>0</v>
      </c>
      <c r="P367" s="3">
        <v>0</v>
      </c>
      <c r="Q367" s="3">
        <v>0</v>
      </c>
    </row>
    <row r="368" spans="1:17">
      <c r="A368" s="3" t="s">
        <v>396</v>
      </c>
      <c r="B368" s="3">
        <v>6</v>
      </c>
      <c r="C368" s="3">
        <v>4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8</v>
      </c>
      <c r="M368" s="3">
        <v>6</v>
      </c>
      <c r="N368" s="3">
        <v>0</v>
      </c>
      <c r="O368" s="3">
        <v>0</v>
      </c>
      <c r="P368" s="3">
        <v>0</v>
      </c>
      <c r="Q368" s="3">
        <v>2</v>
      </c>
    </row>
    <row r="369" spans="1:17">
      <c r="A369" s="3" t="s">
        <v>397</v>
      </c>
      <c r="B369" s="3">
        <v>0</v>
      </c>
      <c r="C369" s="3">
        <v>0</v>
      </c>
      <c r="D369" s="3">
        <v>0</v>
      </c>
      <c r="E369" s="3">
        <v>0</v>
      </c>
      <c r="F369" s="3">
        <v>10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16</v>
      </c>
      <c r="Q369" s="3">
        <v>0</v>
      </c>
    </row>
    <row r="370" spans="1:17">
      <c r="A370" s="3" t="s">
        <v>398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26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</row>
    <row r="371" spans="1:17">
      <c r="A371" s="3" t="s">
        <v>399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8</v>
      </c>
      <c r="I371" s="3">
        <v>0</v>
      </c>
      <c r="J371" s="3">
        <v>0</v>
      </c>
      <c r="K371" s="3">
        <v>0</v>
      </c>
      <c r="L371" s="3">
        <v>0</v>
      </c>
      <c r="M371" s="3">
        <v>5</v>
      </c>
      <c r="N371" s="3">
        <v>5</v>
      </c>
      <c r="O371" s="3">
        <v>0</v>
      </c>
      <c r="P371" s="3">
        <v>0</v>
      </c>
      <c r="Q371" s="3">
        <v>8</v>
      </c>
    </row>
    <row r="372" spans="1:17">
      <c r="A372" s="3" t="s">
        <v>400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26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</row>
    <row r="373" spans="1:17">
      <c r="A373" s="3" t="s">
        <v>401</v>
      </c>
      <c r="B373" s="3">
        <v>0</v>
      </c>
      <c r="C373" s="3">
        <v>0</v>
      </c>
      <c r="D373" s="3">
        <v>7</v>
      </c>
      <c r="E373" s="3">
        <v>0</v>
      </c>
      <c r="F373" s="3">
        <v>0</v>
      </c>
      <c r="G373" s="3">
        <v>18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</row>
    <row r="374" spans="1:17">
      <c r="A374" s="3" t="s">
        <v>402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25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</row>
    <row r="375" spans="1:17">
      <c r="A375" s="3" t="s">
        <v>403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25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</row>
    <row r="376" spans="1:17">
      <c r="A376" s="3" t="s">
        <v>404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13</v>
      </c>
      <c r="M376" s="3">
        <v>12</v>
      </c>
      <c r="N376" s="3">
        <v>0</v>
      </c>
      <c r="O376" s="3">
        <v>0</v>
      </c>
      <c r="P376" s="3">
        <v>0</v>
      </c>
      <c r="Q376" s="3">
        <v>0</v>
      </c>
    </row>
    <row r="377" spans="1:17">
      <c r="A377" s="3" t="s">
        <v>405</v>
      </c>
      <c r="B377" s="3">
        <v>0</v>
      </c>
      <c r="C377" s="3">
        <v>0</v>
      </c>
      <c r="D377" s="3">
        <v>0</v>
      </c>
      <c r="E377" s="3">
        <v>12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6</v>
      </c>
      <c r="N377" s="3">
        <v>6</v>
      </c>
      <c r="O377" s="3">
        <v>0</v>
      </c>
      <c r="P377" s="3">
        <v>0</v>
      </c>
      <c r="Q377" s="3">
        <v>0</v>
      </c>
    </row>
    <row r="378" spans="1:17">
      <c r="A378" s="3" t="s">
        <v>406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9</v>
      </c>
      <c r="I378" s="3">
        <v>15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</row>
    <row r="379" spans="1:17">
      <c r="A379" s="3" t="s">
        <v>407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13</v>
      </c>
      <c r="N379" s="3">
        <v>0</v>
      </c>
      <c r="O379" s="3">
        <v>0</v>
      </c>
      <c r="P379" s="3">
        <v>11</v>
      </c>
      <c r="Q379" s="3">
        <v>0</v>
      </c>
    </row>
    <row r="380" spans="1:17">
      <c r="A380" s="3" t="s">
        <v>408</v>
      </c>
      <c r="B380" s="3">
        <v>17</v>
      </c>
      <c r="C380" s="3">
        <v>0</v>
      </c>
      <c r="D380" s="3">
        <v>0</v>
      </c>
      <c r="E380" s="3">
        <v>0</v>
      </c>
      <c r="F380" s="3">
        <v>0</v>
      </c>
      <c r="G380" s="3">
        <v>6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</row>
    <row r="381" spans="1:17">
      <c r="A381" s="3" t="s">
        <v>409</v>
      </c>
      <c r="B381" s="3">
        <v>7</v>
      </c>
      <c r="C381" s="3">
        <v>6</v>
      </c>
      <c r="D381" s="3">
        <v>0</v>
      </c>
      <c r="E381" s="3">
        <v>10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</row>
    <row r="382" spans="1:17">
      <c r="A382" s="3" t="s">
        <v>410</v>
      </c>
      <c r="B382" s="3">
        <v>0</v>
      </c>
      <c r="C382" s="3">
        <v>0</v>
      </c>
      <c r="D382" s="3">
        <v>0</v>
      </c>
      <c r="E382" s="3">
        <v>9</v>
      </c>
      <c r="F382" s="3">
        <v>14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</row>
    <row r="383" spans="1:17">
      <c r="A383" s="3" t="s">
        <v>411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23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</row>
    <row r="384" spans="1:17">
      <c r="A384" s="3" t="s">
        <v>412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9</v>
      </c>
      <c r="L384" s="3">
        <v>0</v>
      </c>
      <c r="M384" s="3">
        <v>0</v>
      </c>
      <c r="N384" s="3">
        <v>0</v>
      </c>
      <c r="O384" s="3">
        <v>0</v>
      </c>
      <c r="P384" s="3">
        <v>5</v>
      </c>
      <c r="Q384" s="3">
        <v>9</v>
      </c>
    </row>
    <row r="385" spans="1:17">
      <c r="A385" s="3" t="s">
        <v>413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18</v>
      </c>
      <c r="M385" s="3">
        <v>0</v>
      </c>
      <c r="N385" s="3">
        <v>0</v>
      </c>
      <c r="O385" s="3">
        <v>0</v>
      </c>
      <c r="P385" s="3">
        <v>5</v>
      </c>
      <c r="Q385" s="3">
        <v>0</v>
      </c>
    </row>
    <row r="386" spans="1:17">
      <c r="A386" s="3" t="s">
        <v>414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12</v>
      </c>
      <c r="M386" s="3">
        <v>6</v>
      </c>
      <c r="N386" s="3">
        <v>0</v>
      </c>
      <c r="O386" s="3">
        <v>0</v>
      </c>
      <c r="P386" s="3">
        <v>0</v>
      </c>
      <c r="Q386" s="3">
        <v>5</v>
      </c>
    </row>
    <row r="387" spans="1:17">
      <c r="A387" s="3" t="s">
        <v>415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23</v>
      </c>
      <c r="Q387" s="3">
        <v>0</v>
      </c>
    </row>
    <row r="388" spans="1:17">
      <c r="A388" s="3" t="s">
        <v>416</v>
      </c>
      <c r="B388" s="3">
        <v>0</v>
      </c>
      <c r="C388" s="3">
        <v>0</v>
      </c>
      <c r="D388" s="3">
        <v>0</v>
      </c>
      <c r="E388" s="3">
        <v>0</v>
      </c>
      <c r="F388" s="3">
        <v>22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</row>
    <row r="389" spans="1:17">
      <c r="A389" s="3" t="s">
        <v>417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6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16</v>
      </c>
      <c r="N389" s="3">
        <v>0</v>
      </c>
      <c r="O389" s="3">
        <v>0</v>
      </c>
      <c r="P389" s="3">
        <v>0</v>
      </c>
      <c r="Q389" s="3">
        <v>0</v>
      </c>
    </row>
    <row r="390" spans="1:17">
      <c r="A390" s="3" t="s">
        <v>418</v>
      </c>
      <c r="B390" s="3">
        <v>0</v>
      </c>
      <c r="C390" s="3">
        <v>0</v>
      </c>
      <c r="D390" s="3">
        <v>0</v>
      </c>
      <c r="E390" s="3">
        <v>0</v>
      </c>
      <c r="F390" s="3">
        <v>21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</row>
    <row r="391" spans="1:17">
      <c r="A391" s="3" t="s">
        <v>419</v>
      </c>
      <c r="B391" s="3">
        <v>0</v>
      </c>
      <c r="C391" s="3">
        <v>0</v>
      </c>
      <c r="D391" s="3">
        <v>0</v>
      </c>
      <c r="E391" s="3">
        <v>0</v>
      </c>
      <c r="F391" s="3">
        <v>10</v>
      </c>
      <c r="G391" s="3">
        <v>11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</row>
    <row r="392" spans="1:17">
      <c r="A392" s="3" t="s">
        <v>420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21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</row>
    <row r="393" spans="1:17">
      <c r="A393" s="3" t="s">
        <v>421</v>
      </c>
      <c r="B393" s="3">
        <v>7</v>
      </c>
      <c r="C393" s="3">
        <v>0</v>
      </c>
      <c r="D393" s="3">
        <v>7</v>
      </c>
      <c r="E393" s="3">
        <v>6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</row>
    <row r="394" spans="1:17">
      <c r="A394" s="3" t="s">
        <v>422</v>
      </c>
      <c r="B394" s="3">
        <v>0</v>
      </c>
      <c r="C394" s="3">
        <v>0</v>
      </c>
      <c r="D394" s="3">
        <v>16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4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</row>
    <row r="395" spans="1:17">
      <c r="A395" s="3" t="s">
        <v>423</v>
      </c>
      <c r="B395" s="3">
        <v>0</v>
      </c>
      <c r="C395" s="3">
        <v>0</v>
      </c>
      <c r="D395" s="3">
        <v>7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13</v>
      </c>
      <c r="Q395" s="3">
        <v>0</v>
      </c>
    </row>
    <row r="396" spans="1:17">
      <c r="A396" s="3" t="s">
        <v>424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20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</row>
    <row r="397" spans="1:17">
      <c r="A397" s="3" t="s">
        <v>425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20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</row>
    <row r="398" spans="1:17">
      <c r="A398" s="3" t="s">
        <v>426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20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</row>
    <row r="399" spans="1:17">
      <c r="A399" s="3" t="s">
        <v>427</v>
      </c>
      <c r="B399" s="3">
        <v>0</v>
      </c>
      <c r="C399" s="3">
        <v>0</v>
      </c>
      <c r="D399" s="3">
        <v>0</v>
      </c>
      <c r="E399" s="3">
        <v>0</v>
      </c>
      <c r="F399" s="3">
        <v>6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13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</row>
    <row r="400" spans="1:17">
      <c r="A400" s="3" t="s">
        <v>428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19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</row>
    <row r="401" spans="1:17">
      <c r="A401" s="3" t="s">
        <v>429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19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</row>
    <row r="402" spans="1:17">
      <c r="A402" s="3" t="s">
        <v>430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12</v>
      </c>
      <c r="I402" s="3">
        <v>7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</row>
    <row r="403" spans="1:17">
      <c r="A403" s="3" t="s">
        <v>431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2</v>
      </c>
      <c r="J403" s="3">
        <v>17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</row>
    <row r="404" spans="1:17">
      <c r="A404" s="3" t="s">
        <v>432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11</v>
      </c>
      <c r="M404" s="3">
        <v>8</v>
      </c>
      <c r="N404" s="3">
        <v>0</v>
      </c>
      <c r="O404" s="3">
        <v>0</v>
      </c>
      <c r="P404" s="3">
        <v>0</v>
      </c>
      <c r="Q404" s="3">
        <v>0</v>
      </c>
    </row>
    <row r="405" spans="1:17">
      <c r="A405" s="3" t="s">
        <v>433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19</v>
      </c>
      <c r="N405" s="3">
        <v>0</v>
      </c>
      <c r="O405" s="3">
        <v>0</v>
      </c>
      <c r="P405" s="3">
        <v>0</v>
      </c>
      <c r="Q405" s="3">
        <v>0</v>
      </c>
    </row>
    <row r="406" spans="1:17">
      <c r="A406" s="3" t="s">
        <v>434</v>
      </c>
      <c r="B406" s="3">
        <v>0</v>
      </c>
      <c r="C406" s="3">
        <v>0</v>
      </c>
      <c r="D406" s="3">
        <v>5</v>
      </c>
      <c r="E406" s="3">
        <v>0</v>
      </c>
      <c r="F406" s="3">
        <v>6</v>
      </c>
      <c r="G406" s="3">
        <v>0</v>
      </c>
      <c r="H406" s="3">
        <v>0</v>
      </c>
      <c r="I406" s="3">
        <v>0</v>
      </c>
      <c r="J406" s="3">
        <v>0</v>
      </c>
      <c r="K406" s="3">
        <v>5</v>
      </c>
      <c r="L406" s="3">
        <v>0</v>
      </c>
      <c r="M406" s="3">
        <v>0</v>
      </c>
      <c r="N406" s="3">
        <v>2</v>
      </c>
      <c r="O406" s="3">
        <v>0</v>
      </c>
      <c r="P406" s="3">
        <v>0</v>
      </c>
      <c r="Q406" s="3">
        <v>0</v>
      </c>
    </row>
    <row r="407" spans="1:17">
      <c r="A407" s="3" t="s">
        <v>435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18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</row>
    <row r="408" spans="1:17">
      <c r="A408" s="3" t="s">
        <v>436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17</v>
      </c>
      <c r="O408" s="3">
        <v>0</v>
      </c>
      <c r="P408" s="3">
        <v>0</v>
      </c>
      <c r="Q408" s="3">
        <v>0</v>
      </c>
    </row>
    <row r="409" spans="1:17">
      <c r="A409" s="3" t="s">
        <v>437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10</v>
      </c>
      <c r="Q409" s="3">
        <v>7</v>
      </c>
    </row>
    <row r="410" spans="1:17">
      <c r="A410" s="3" t="s">
        <v>438</v>
      </c>
      <c r="B410" s="3">
        <v>0</v>
      </c>
      <c r="C410" s="3">
        <v>3</v>
      </c>
      <c r="D410" s="3">
        <v>0</v>
      </c>
      <c r="E410" s="3">
        <v>0</v>
      </c>
      <c r="F410" s="3">
        <v>0</v>
      </c>
      <c r="G410" s="3">
        <v>5</v>
      </c>
      <c r="H410" s="3">
        <v>0</v>
      </c>
      <c r="I410" s="3">
        <v>4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4</v>
      </c>
      <c r="Q410" s="3">
        <v>0</v>
      </c>
    </row>
    <row r="411" spans="1:17">
      <c r="A411" s="3" t="s">
        <v>439</v>
      </c>
      <c r="B411" s="3">
        <v>0</v>
      </c>
      <c r="C411" s="3">
        <v>0</v>
      </c>
      <c r="D411" s="3">
        <v>0</v>
      </c>
      <c r="E411" s="3">
        <v>0</v>
      </c>
      <c r="F411" s="3">
        <v>12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4</v>
      </c>
      <c r="O411" s="3">
        <v>0</v>
      </c>
      <c r="P411" s="3">
        <v>0</v>
      </c>
      <c r="Q411" s="3">
        <v>0</v>
      </c>
    </row>
    <row r="412" spans="1:17">
      <c r="A412" s="3" t="s">
        <v>440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5</v>
      </c>
      <c r="H412" s="3">
        <v>0</v>
      </c>
      <c r="I412" s="3">
        <v>11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</row>
    <row r="413" spans="1:17">
      <c r="A413" s="3" t="s">
        <v>441</v>
      </c>
      <c r="B413" s="3">
        <v>1</v>
      </c>
      <c r="C413" s="3">
        <v>0</v>
      </c>
      <c r="D413" s="3">
        <v>4</v>
      </c>
      <c r="E413" s="3">
        <v>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7</v>
      </c>
    </row>
    <row r="414" spans="1:17">
      <c r="A414" s="3" t="s">
        <v>442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15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</row>
    <row r="415" spans="1:17">
      <c r="A415" s="3" t="s">
        <v>443</v>
      </c>
      <c r="B415" s="3">
        <v>6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4</v>
      </c>
      <c r="Q415" s="3">
        <v>4</v>
      </c>
    </row>
    <row r="416" spans="1:17">
      <c r="A416" s="3" t="s">
        <v>444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11</v>
      </c>
      <c r="J416" s="3">
        <v>0</v>
      </c>
      <c r="K416" s="3">
        <v>0</v>
      </c>
      <c r="L416" s="3">
        <v>0</v>
      </c>
      <c r="M416" s="3">
        <v>3</v>
      </c>
      <c r="N416" s="3">
        <v>0</v>
      </c>
      <c r="O416" s="3">
        <v>0</v>
      </c>
      <c r="P416" s="3">
        <v>0</v>
      </c>
      <c r="Q416" s="3">
        <v>0</v>
      </c>
    </row>
    <row r="417" spans="1:17">
      <c r="A417" s="3" t="s">
        <v>445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14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</row>
    <row r="418" spans="1:17">
      <c r="A418" s="3" t="s">
        <v>446</v>
      </c>
      <c r="B418" s="3">
        <v>7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6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</row>
    <row r="419" spans="1:17">
      <c r="A419" s="3" t="s">
        <v>447</v>
      </c>
      <c r="B419" s="3">
        <v>0</v>
      </c>
      <c r="C419" s="3">
        <v>7</v>
      </c>
      <c r="D419" s="3">
        <v>0</v>
      </c>
      <c r="E419" s="3">
        <v>6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</row>
    <row r="420" spans="1:17">
      <c r="A420" s="3" t="s">
        <v>448</v>
      </c>
      <c r="B420" s="3">
        <v>0</v>
      </c>
      <c r="C420" s="3">
        <v>3</v>
      </c>
      <c r="D420" s="3">
        <v>0</v>
      </c>
      <c r="E420" s="3">
        <v>0</v>
      </c>
      <c r="F420" s="3">
        <v>0</v>
      </c>
      <c r="G420" s="3">
        <v>0</v>
      </c>
      <c r="H420" s="3">
        <v>2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8</v>
      </c>
      <c r="O420" s="3">
        <v>0</v>
      </c>
      <c r="P420" s="3">
        <v>0</v>
      </c>
      <c r="Q420" s="3">
        <v>0</v>
      </c>
    </row>
    <row r="421" spans="1:17">
      <c r="A421" s="3" t="s">
        <v>449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13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</row>
    <row r="422" spans="1:17">
      <c r="A422" s="3" t="s">
        <v>450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7</v>
      </c>
      <c r="J422" s="3">
        <v>0</v>
      </c>
      <c r="K422" s="3">
        <v>0</v>
      </c>
      <c r="L422" s="3">
        <v>6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</row>
    <row r="423" spans="1:17">
      <c r="A423" s="3" t="s">
        <v>451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5</v>
      </c>
      <c r="J423" s="3">
        <v>0</v>
      </c>
      <c r="K423" s="3">
        <v>0</v>
      </c>
      <c r="L423" s="3">
        <v>0</v>
      </c>
      <c r="M423" s="3">
        <v>0</v>
      </c>
      <c r="N423" s="3">
        <v>4</v>
      </c>
      <c r="O423" s="3">
        <v>4</v>
      </c>
      <c r="P423" s="3">
        <v>0</v>
      </c>
      <c r="Q423" s="3">
        <v>0</v>
      </c>
    </row>
    <row r="424" spans="1:17">
      <c r="A424" s="3" t="s">
        <v>452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13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</row>
    <row r="425" spans="1:17">
      <c r="A425" s="3" t="s">
        <v>453</v>
      </c>
      <c r="B425" s="3">
        <v>12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</row>
    <row r="426" spans="1:17">
      <c r="A426" s="3" t="s">
        <v>454</v>
      </c>
      <c r="B426" s="3">
        <v>4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3</v>
      </c>
      <c r="I426" s="3">
        <v>5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</row>
    <row r="427" spans="1:17">
      <c r="A427" s="3" t="s">
        <v>455</v>
      </c>
      <c r="B427" s="3">
        <v>0</v>
      </c>
      <c r="C427" s="3">
        <v>0</v>
      </c>
      <c r="D427" s="3">
        <v>5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7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</row>
    <row r="428" spans="1:17">
      <c r="A428" s="3" t="s">
        <v>456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12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</row>
    <row r="429" spans="1:17">
      <c r="A429" s="3" t="s">
        <v>457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12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</row>
    <row r="430" spans="1:17">
      <c r="A430" s="3" t="s">
        <v>458</v>
      </c>
      <c r="B430" s="3">
        <v>0</v>
      </c>
      <c r="C430" s="3">
        <v>0</v>
      </c>
      <c r="D430" s="3">
        <v>7</v>
      </c>
      <c r="E430" s="3">
        <v>4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</row>
    <row r="431" spans="1:17">
      <c r="A431" s="3" t="s">
        <v>459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11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</row>
    <row r="432" spans="1:17">
      <c r="A432" s="3" t="s">
        <v>460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11</v>
      </c>
      <c r="N432" s="3">
        <v>0</v>
      </c>
      <c r="O432" s="3">
        <v>0</v>
      </c>
      <c r="P432" s="3">
        <v>0</v>
      </c>
      <c r="Q432" s="3">
        <v>0</v>
      </c>
    </row>
    <row r="433" spans="1:17">
      <c r="A433" s="3" t="s">
        <v>461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11</v>
      </c>
      <c r="P433" s="3">
        <v>0</v>
      </c>
      <c r="Q433" s="3">
        <v>0</v>
      </c>
    </row>
    <row r="434" spans="1:17">
      <c r="A434" s="3" t="s">
        <v>462</v>
      </c>
      <c r="B434" s="3">
        <v>0</v>
      </c>
      <c r="C434" s="3">
        <v>0</v>
      </c>
      <c r="D434" s="3">
        <v>10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</row>
    <row r="435" spans="1:17">
      <c r="A435" s="3" t="s">
        <v>463</v>
      </c>
      <c r="B435" s="3">
        <v>0</v>
      </c>
      <c r="C435" s="3">
        <v>0</v>
      </c>
      <c r="D435" s="3">
        <v>0</v>
      </c>
      <c r="E435" s="3">
        <v>5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5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</row>
    <row r="436" spans="1:17">
      <c r="A436" s="3" t="s">
        <v>464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10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</row>
    <row r="437" spans="1:17">
      <c r="A437" s="3" t="s">
        <v>465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10</v>
      </c>
    </row>
    <row r="438" spans="1:17">
      <c r="A438" s="3" t="s">
        <v>466</v>
      </c>
      <c r="B438" s="3">
        <v>0</v>
      </c>
      <c r="C438" s="3">
        <v>0</v>
      </c>
      <c r="D438" s="3">
        <v>3</v>
      </c>
      <c r="E438" s="3">
        <v>0</v>
      </c>
      <c r="F438" s="3">
        <v>0</v>
      </c>
      <c r="G438" s="3">
        <v>4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1</v>
      </c>
      <c r="N438" s="3">
        <v>0</v>
      </c>
      <c r="O438" s="3">
        <v>0</v>
      </c>
      <c r="P438" s="3">
        <v>1</v>
      </c>
      <c r="Q438" s="3">
        <v>0</v>
      </c>
    </row>
    <row r="439" spans="1:17">
      <c r="A439" s="3" t="s">
        <v>467</v>
      </c>
      <c r="B439" s="3">
        <v>0</v>
      </c>
      <c r="C439" s="3">
        <v>0</v>
      </c>
      <c r="D439" s="3">
        <v>0</v>
      </c>
      <c r="E439" s="3">
        <v>9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</row>
    <row r="440" spans="1:17">
      <c r="A440" s="3" t="s">
        <v>468</v>
      </c>
      <c r="B440" s="3">
        <v>0</v>
      </c>
      <c r="C440" s="3">
        <v>0</v>
      </c>
      <c r="D440" s="3">
        <v>0</v>
      </c>
      <c r="E440" s="3">
        <v>9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</row>
    <row r="441" spans="1:17">
      <c r="A441" s="3" t="s">
        <v>469</v>
      </c>
      <c r="B441" s="3">
        <v>0</v>
      </c>
      <c r="C441" s="3">
        <v>0</v>
      </c>
      <c r="D441" s="3">
        <v>0</v>
      </c>
      <c r="E441" s="3">
        <v>0</v>
      </c>
      <c r="F441" s="3">
        <v>9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</row>
    <row r="442" spans="1:17">
      <c r="A442" s="3" t="s">
        <v>470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9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</row>
    <row r="443" spans="1:17">
      <c r="A443" s="3" t="s">
        <v>471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9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</row>
    <row r="444" spans="1:17">
      <c r="A444" s="3" t="s">
        <v>472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9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</row>
    <row r="445" spans="1:17">
      <c r="A445" s="3" t="s">
        <v>473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9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</row>
    <row r="446" spans="1:17">
      <c r="A446" s="3" t="s">
        <v>474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6</v>
      </c>
      <c r="K446" s="3">
        <v>0</v>
      </c>
      <c r="L446" s="3">
        <v>0</v>
      </c>
      <c r="M446" s="3">
        <v>0</v>
      </c>
      <c r="N446" s="3">
        <v>3</v>
      </c>
      <c r="O446" s="3">
        <v>0</v>
      </c>
      <c r="P446" s="3">
        <v>0</v>
      </c>
      <c r="Q446" s="3">
        <v>0</v>
      </c>
    </row>
    <row r="447" spans="1:17">
      <c r="A447" s="3" t="s">
        <v>475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9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</row>
    <row r="448" spans="1:17">
      <c r="A448" s="3" t="s">
        <v>476</v>
      </c>
      <c r="B448" s="3">
        <v>8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</row>
    <row r="449" spans="1:17">
      <c r="A449" s="3" t="s">
        <v>477</v>
      </c>
      <c r="B449" s="3">
        <v>0</v>
      </c>
      <c r="C449" s="3">
        <v>8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</row>
    <row r="450" spans="1:17">
      <c r="A450" s="3" t="s">
        <v>478</v>
      </c>
      <c r="B450" s="3">
        <v>0</v>
      </c>
      <c r="C450" s="3">
        <v>1</v>
      </c>
      <c r="D450" s="3">
        <v>0</v>
      </c>
      <c r="E450" s="3">
        <v>0</v>
      </c>
      <c r="F450" s="3">
        <v>0</v>
      </c>
      <c r="G450" s="3">
        <v>0</v>
      </c>
      <c r="H450" s="3">
        <v>1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6</v>
      </c>
      <c r="Q450" s="3">
        <v>0</v>
      </c>
    </row>
    <row r="451" spans="1:17">
      <c r="A451" s="3" t="s">
        <v>479</v>
      </c>
      <c r="B451" s="3">
        <v>0</v>
      </c>
      <c r="C451" s="3">
        <v>0</v>
      </c>
      <c r="D451" s="3">
        <v>8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</row>
    <row r="452" spans="1:17">
      <c r="A452" s="3" t="s">
        <v>480</v>
      </c>
      <c r="B452" s="3">
        <v>0</v>
      </c>
      <c r="C452" s="3">
        <v>0</v>
      </c>
      <c r="D452" s="3">
        <v>0</v>
      </c>
      <c r="E452" s="3">
        <v>5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3</v>
      </c>
      <c r="P452" s="3">
        <v>0</v>
      </c>
      <c r="Q452" s="3">
        <v>0</v>
      </c>
    </row>
    <row r="453" spans="1:17">
      <c r="A453" s="3" t="s">
        <v>481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8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</row>
    <row r="454" spans="1:17">
      <c r="A454" s="3" t="s">
        <v>482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8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</row>
    <row r="455" spans="1:17">
      <c r="A455" s="3" t="s">
        <v>483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8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</row>
    <row r="456" spans="1:17">
      <c r="A456" s="3" t="s">
        <v>484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8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</row>
    <row r="457" spans="1:17">
      <c r="A457" s="3" t="s">
        <v>485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8</v>
      </c>
      <c r="N457" s="3">
        <v>0</v>
      </c>
      <c r="O457" s="3">
        <v>0</v>
      </c>
      <c r="P457" s="3">
        <v>0</v>
      </c>
      <c r="Q457" s="3">
        <v>0</v>
      </c>
    </row>
    <row r="458" spans="1:17">
      <c r="A458" s="3" t="s">
        <v>486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8</v>
      </c>
      <c r="N458" s="3">
        <v>0</v>
      </c>
      <c r="O458" s="3">
        <v>0</v>
      </c>
      <c r="P458" s="3">
        <v>0</v>
      </c>
      <c r="Q458" s="3">
        <v>0</v>
      </c>
    </row>
    <row r="459" spans="1:17">
      <c r="A459" s="3" t="s">
        <v>487</v>
      </c>
      <c r="B459" s="3">
        <v>7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</row>
    <row r="460" spans="1:17">
      <c r="A460" s="3" t="s">
        <v>488</v>
      </c>
      <c r="B460" s="3">
        <v>3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4</v>
      </c>
      <c r="N460" s="3">
        <v>0</v>
      </c>
      <c r="O460" s="3">
        <v>0</v>
      </c>
      <c r="P460" s="3">
        <v>0</v>
      </c>
      <c r="Q460" s="3">
        <v>0</v>
      </c>
    </row>
    <row r="461" spans="1:17">
      <c r="A461" s="3" t="s">
        <v>489</v>
      </c>
      <c r="B461" s="3">
        <v>0</v>
      </c>
      <c r="C461" s="3">
        <v>0</v>
      </c>
      <c r="D461" s="3">
        <v>7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</row>
    <row r="462" spans="1:17">
      <c r="A462" s="3" t="s">
        <v>490</v>
      </c>
      <c r="B462" s="3">
        <v>0</v>
      </c>
      <c r="C462" s="3">
        <v>0</v>
      </c>
      <c r="D462" s="3">
        <v>0</v>
      </c>
      <c r="E462" s="3">
        <v>0</v>
      </c>
      <c r="F462" s="3">
        <v>2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3</v>
      </c>
      <c r="O462" s="3">
        <v>2</v>
      </c>
      <c r="P462" s="3">
        <v>0</v>
      </c>
      <c r="Q462" s="3">
        <v>0</v>
      </c>
    </row>
    <row r="463" spans="1:17">
      <c r="A463" s="3" t="s">
        <v>491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7</v>
      </c>
      <c r="N463" s="3">
        <v>0</v>
      </c>
      <c r="O463" s="3">
        <v>0</v>
      </c>
      <c r="P463" s="3">
        <v>0</v>
      </c>
      <c r="Q463" s="3">
        <v>0</v>
      </c>
    </row>
    <row r="464" spans="1:17">
      <c r="A464" s="3" t="s">
        <v>492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7</v>
      </c>
      <c r="O464" s="3">
        <v>0</v>
      </c>
      <c r="P464" s="3">
        <v>0</v>
      </c>
      <c r="Q464" s="3">
        <v>0</v>
      </c>
    </row>
    <row r="465" spans="1:17">
      <c r="A465" s="3" t="s">
        <v>493</v>
      </c>
      <c r="B465" s="3">
        <v>6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</row>
    <row r="466" spans="1:17">
      <c r="A466" s="3" t="s">
        <v>494</v>
      </c>
      <c r="B466" s="3">
        <v>4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2</v>
      </c>
      <c r="P466" s="3">
        <v>0</v>
      </c>
      <c r="Q466" s="3">
        <v>0</v>
      </c>
    </row>
    <row r="467" spans="1:17">
      <c r="A467" s="3" t="s">
        <v>495</v>
      </c>
      <c r="B467" s="3">
        <v>3</v>
      </c>
      <c r="C467" s="3">
        <v>0</v>
      </c>
      <c r="D467" s="3">
        <v>3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</row>
    <row r="468" spans="1:17">
      <c r="A468" s="3" t="s">
        <v>496</v>
      </c>
      <c r="B468" s="3">
        <v>0</v>
      </c>
      <c r="C468" s="3">
        <v>0</v>
      </c>
      <c r="D468" s="3">
        <v>0</v>
      </c>
      <c r="E468" s="3">
        <v>6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</row>
    <row r="469" spans="1:17">
      <c r="A469" s="3" t="s">
        <v>497</v>
      </c>
      <c r="B469" s="3">
        <v>0</v>
      </c>
      <c r="C469" s="3">
        <v>0</v>
      </c>
      <c r="D469" s="3">
        <v>0</v>
      </c>
      <c r="E469" s="3">
        <v>3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3</v>
      </c>
    </row>
    <row r="470" spans="1:17">
      <c r="A470" s="3" t="s">
        <v>498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6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</row>
    <row r="471" spans="1:17">
      <c r="A471" s="3" t="s">
        <v>499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6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</row>
    <row r="472" spans="1:17">
      <c r="A472" s="3" t="s">
        <v>500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6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</row>
    <row r="473" spans="1:17">
      <c r="A473" s="3" t="s">
        <v>501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6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</row>
    <row r="474" spans="1:17">
      <c r="A474" s="3" t="s">
        <v>502</v>
      </c>
      <c r="B474" s="3">
        <v>0</v>
      </c>
      <c r="C474" s="3">
        <v>5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</row>
    <row r="475" spans="1:17">
      <c r="A475" s="3" t="s">
        <v>503</v>
      </c>
      <c r="B475" s="3">
        <v>0</v>
      </c>
      <c r="C475" s="3">
        <v>5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</row>
    <row r="476" spans="1:17">
      <c r="A476" s="3" t="s">
        <v>504</v>
      </c>
      <c r="B476" s="3">
        <v>0</v>
      </c>
      <c r="C476" s="3">
        <v>0</v>
      </c>
      <c r="D476" s="3">
        <v>0</v>
      </c>
      <c r="E476" s="3">
        <v>2</v>
      </c>
      <c r="F476" s="3">
        <v>0</v>
      </c>
      <c r="G476" s="3">
        <v>0</v>
      </c>
      <c r="H476" s="3">
        <v>0</v>
      </c>
      <c r="I476" s="3">
        <v>3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</row>
    <row r="477" spans="1:17">
      <c r="A477" s="3" t="s">
        <v>505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5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</row>
    <row r="478" spans="1:17">
      <c r="A478" s="3" t="s">
        <v>506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5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</row>
    <row r="479" spans="1:17">
      <c r="A479" s="3" t="s">
        <v>507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5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</row>
    <row r="480" spans="1:17">
      <c r="A480" s="3" t="s">
        <v>508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5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</row>
    <row r="481" spans="1:17">
      <c r="A481" s="3" t="s">
        <v>509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5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</row>
    <row r="482" spans="1:17">
      <c r="A482" s="3" t="s">
        <v>510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5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</row>
    <row r="483" spans="1:17">
      <c r="A483" s="3" t="s">
        <v>511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5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</row>
    <row r="484" spans="1:17">
      <c r="A484" s="3" t="s">
        <v>512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5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</row>
    <row r="485" spans="1:17">
      <c r="A485" s="3" t="s">
        <v>513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5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</row>
    <row r="486" spans="1:17">
      <c r="A486" s="3" t="s">
        <v>514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5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</row>
    <row r="487" spans="1:17">
      <c r="A487" s="3" t="s">
        <v>515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5</v>
      </c>
    </row>
    <row r="488" spans="1:17">
      <c r="A488" s="3" t="s">
        <v>516</v>
      </c>
      <c r="B488" s="3">
        <v>4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</row>
    <row r="489" spans="1:17">
      <c r="A489" s="3" t="s">
        <v>517</v>
      </c>
      <c r="B489" s="3">
        <v>4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</row>
    <row r="490" spans="1:17">
      <c r="A490" s="3" t="s">
        <v>518</v>
      </c>
      <c r="B490" s="3">
        <v>4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</row>
    <row r="491" spans="1:17">
      <c r="A491" s="3" t="s">
        <v>519</v>
      </c>
      <c r="B491" s="3">
        <v>2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2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</row>
    <row r="492" spans="1:17">
      <c r="A492" s="3" t="s">
        <v>520</v>
      </c>
      <c r="B492" s="3">
        <v>0</v>
      </c>
      <c r="C492" s="3">
        <v>4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</row>
    <row r="493" spans="1:17">
      <c r="A493" s="3" t="s">
        <v>521</v>
      </c>
      <c r="B493" s="3">
        <v>0</v>
      </c>
      <c r="C493" s="3">
        <v>0</v>
      </c>
      <c r="D493" s="3">
        <v>4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</row>
    <row r="494" spans="1:17">
      <c r="A494" s="3" t="s">
        <v>522</v>
      </c>
      <c r="B494" s="3">
        <v>0</v>
      </c>
      <c r="C494" s="3">
        <v>0</v>
      </c>
      <c r="D494" s="3">
        <v>0</v>
      </c>
      <c r="E494" s="3">
        <v>4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</row>
    <row r="495" spans="1:17">
      <c r="A495" s="3" t="s">
        <v>523</v>
      </c>
      <c r="B495" s="3">
        <v>0</v>
      </c>
      <c r="C495" s="3">
        <v>0</v>
      </c>
      <c r="D495" s="3">
        <v>0</v>
      </c>
      <c r="E495" s="3">
        <v>4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</row>
    <row r="496" spans="1:17">
      <c r="A496" s="3" t="s">
        <v>524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4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</row>
    <row r="497" spans="1:17">
      <c r="A497" s="3" t="s">
        <v>525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4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</row>
    <row r="498" spans="1:17">
      <c r="A498" s="3" t="s">
        <v>526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4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</row>
    <row r="499" spans="1:17">
      <c r="A499" s="3" t="s">
        <v>527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4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</row>
    <row r="500" spans="1:17">
      <c r="A500" s="3" t="s">
        <v>528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4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</row>
    <row r="501" spans="1:17">
      <c r="A501" s="3" t="s">
        <v>529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4</v>
      </c>
      <c r="N501" s="3">
        <v>0</v>
      </c>
      <c r="O501" s="3">
        <v>0</v>
      </c>
      <c r="P501" s="3">
        <v>0</v>
      </c>
      <c r="Q501" s="3">
        <v>0</v>
      </c>
    </row>
    <row r="502" spans="1:17">
      <c r="A502" s="3" t="s">
        <v>530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4</v>
      </c>
      <c r="O502" s="3">
        <v>0</v>
      </c>
      <c r="P502" s="3">
        <v>0</v>
      </c>
      <c r="Q502" s="3">
        <v>0</v>
      </c>
    </row>
    <row r="503" spans="1:17">
      <c r="A503" s="3" t="s">
        <v>531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4</v>
      </c>
      <c r="O503" s="3">
        <v>0</v>
      </c>
      <c r="P503" s="3">
        <v>0</v>
      </c>
      <c r="Q503" s="3">
        <v>0</v>
      </c>
    </row>
    <row r="504" spans="1:17">
      <c r="A504" s="3" t="s">
        <v>532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4</v>
      </c>
      <c r="P504" s="3">
        <v>0</v>
      </c>
      <c r="Q504" s="3">
        <v>0</v>
      </c>
    </row>
    <row r="505" spans="1:17">
      <c r="A505" s="3" t="s">
        <v>533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4</v>
      </c>
    </row>
    <row r="506" spans="1:17">
      <c r="A506" s="3" t="s">
        <v>534</v>
      </c>
      <c r="B506" s="3">
        <v>3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</row>
    <row r="507" spans="1:17">
      <c r="A507" s="3" t="s">
        <v>535</v>
      </c>
      <c r="B507" s="3">
        <v>3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</row>
    <row r="508" spans="1:17">
      <c r="A508" s="3" t="s">
        <v>536</v>
      </c>
      <c r="B508" s="3">
        <v>3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</row>
    <row r="509" spans="1:17">
      <c r="A509" s="3" t="s">
        <v>537</v>
      </c>
      <c r="B509" s="3">
        <v>3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</row>
    <row r="510" spans="1:17">
      <c r="A510" s="3" t="s">
        <v>538</v>
      </c>
      <c r="B510" s="3">
        <v>0</v>
      </c>
      <c r="C510" s="3">
        <v>3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</row>
    <row r="511" spans="1:17">
      <c r="A511" s="3" t="s">
        <v>539</v>
      </c>
      <c r="B511" s="3">
        <v>0</v>
      </c>
      <c r="C511" s="3">
        <v>3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</row>
    <row r="512" spans="1:17">
      <c r="A512" s="3" t="s">
        <v>540</v>
      </c>
      <c r="B512" s="3">
        <v>0</v>
      </c>
      <c r="C512" s="3">
        <v>0</v>
      </c>
      <c r="D512" s="3">
        <v>3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</row>
    <row r="513" spans="1:17">
      <c r="A513" s="3" t="s">
        <v>541</v>
      </c>
      <c r="B513" s="3">
        <v>0</v>
      </c>
      <c r="C513" s="3">
        <v>0</v>
      </c>
      <c r="D513" s="3">
        <v>3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</row>
    <row r="514" spans="1:17">
      <c r="A514" s="3" t="s">
        <v>542</v>
      </c>
      <c r="B514" s="3">
        <v>0</v>
      </c>
      <c r="C514" s="3">
        <v>0</v>
      </c>
      <c r="D514" s="3">
        <v>0</v>
      </c>
      <c r="E514" s="3">
        <v>3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</row>
    <row r="515" spans="1:17">
      <c r="A515" s="3" t="s">
        <v>543</v>
      </c>
      <c r="B515" s="3">
        <v>0</v>
      </c>
      <c r="C515" s="3">
        <v>0</v>
      </c>
      <c r="D515" s="3">
        <v>0</v>
      </c>
      <c r="E515" s="3">
        <v>3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</row>
    <row r="516" spans="1:17">
      <c r="A516" s="3" t="s">
        <v>544</v>
      </c>
      <c r="B516" s="3">
        <v>0</v>
      </c>
      <c r="C516" s="3">
        <v>0</v>
      </c>
      <c r="D516" s="3">
        <v>0</v>
      </c>
      <c r="E516" s="3">
        <v>3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</row>
    <row r="517" spans="1:17">
      <c r="A517" s="3" t="s">
        <v>545</v>
      </c>
      <c r="B517" s="3">
        <v>0</v>
      </c>
      <c r="C517" s="3">
        <v>0</v>
      </c>
      <c r="D517" s="3">
        <v>0</v>
      </c>
      <c r="E517" s="3">
        <v>3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</row>
    <row r="518" spans="1:17">
      <c r="A518" s="3" t="s">
        <v>546</v>
      </c>
      <c r="B518" s="3">
        <v>0</v>
      </c>
      <c r="C518" s="3">
        <v>0</v>
      </c>
      <c r="D518" s="3">
        <v>0</v>
      </c>
      <c r="E518" s="3">
        <v>3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</row>
    <row r="519" spans="1:17">
      <c r="A519" s="3" t="s">
        <v>547</v>
      </c>
      <c r="B519" s="3">
        <v>0</v>
      </c>
      <c r="C519" s="3">
        <v>0</v>
      </c>
      <c r="D519" s="3">
        <v>0</v>
      </c>
      <c r="E519" s="3">
        <v>0</v>
      </c>
      <c r="F519" s="3">
        <v>3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</row>
    <row r="520" spans="1:17">
      <c r="A520" s="3" t="s">
        <v>548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3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</row>
    <row r="521" spans="1:17">
      <c r="A521" s="3" t="s">
        <v>549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3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</row>
    <row r="522" spans="1:17">
      <c r="A522" s="3" t="s">
        <v>550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3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</row>
    <row r="523" spans="1:17">
      <c r="A523" s="3" t="s">
        <v>551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3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</row>
    <row r="524" spans="1:17">
      <c r="A524" s="3" t="s">
        <v>552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3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</row>
    <row r="525" spans="1:17">
      <c r="A525" s="3" t="s">
        <v>553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3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</row>
    <row r="526" spans="1:17">
      <c r="A526" s="3" t="s">
        <v>554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3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</row>
    <row r="527" spans="1:17">
      <c r="A527" s="3" t="s">
        <v>555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3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</row>
    <row r="528" spans="1:17">
      <c r="A528" s="3" t="s">
        <v>556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3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</row>
    <row r="529" spans="1:17">
      <c r="A529" s="3" t="s">
        <v>557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3</v>
      </c>
      <c r="N529" s="3">
        <v>0</v>
      </c>
      <c r="O529" s="3">
        <v>0</v>
      </c>
      <c r="P529" s="3">
        <v>0</v>
      </c>
      <c r="Q529" s="3">
        <v>0</v>
      </c>
    </row>
    <row r="530" spans="1:17">
      <c r="A530" s="3" t="s">
        <v>558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3</v>
      </c>
      <c r="N530" s="3">
        <v>0</v>
      </c>
      <c r="O530" s="3">
        <v>0</v>
      </c>
      <c r="P530" s="3">
        <v>0</v>
      </c>
      <c r="Q530" s="3">
        <v>0</v>
      </c>
    </row>
    <row r="531" spans="1:17">
      <c r="A531" s="3" t="s">
        <v>559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3</v>
      </c>
      <c r="N531" s="3">
        <v>0</v>
      </c>
      <c r="O531" s="3">
        <v>0</v>
      </c>
      <c r="P531" s="3">
        <v>0</v>
      </c>
      <c r="Q531" s="3">
        <v>0</v>
      </c>
    </row>
    <row r="532" spans="1:17">
      <c r="A532" s="3" t="s">
        <v>560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3</v>
      </c>
      <c r="N532" s="3">
        <v>0</v>
      </c>
      <c r="O532" s="3">
        <v>0</v>
      </c>
      <c r="P532" s="3">
        <v>0</v>
      </c>
      <c r="Q532" s="3">
        <v>0</v>
      </c>
    </row>
    <row r="533" spans="1:17">
      <c r="A533" s="3" t="s">
        <v>561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3</v>
      </c>
      <c r="Q533" s="3">
        <v>0</v>
      </c>
    </row>
    <row r="534" spans="1:17">
      <c r="A534" s="3" t="s">
        <v>562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3</v>
      </c>
      <c r="Q534" s="3">
        <v>0</v>
      </c>
    </row>
    <row r="535" spans="1:17">
      <c r="A535" s="3" t="s">
        <v>563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3</v>
      </c>
      <c r="Q535" s="3">
        <v>0</v>
      </c>
    </row>
    <row r="536" spans="1:17">
      <c r="A536" s="3" t="s">
        <v>564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3</v>
      </c>
      <c r="Q536" s="3">
        <v>0</v>
      </c>
    </row>
    <row r="537" spans="1:17">
      <c r="A537" s="3" t="s">
        <v>565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3</v>
      </c>
    </row>
    <row r="538" spans="1:17">
      <c r="A538" s="3" t="s">
        <v>566</v>
      </c>
      <c r="B538" s="3">
        <v>2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</row>
    <row r="539" spans="1:17">
      <c r="A539" s="3" t="s">
        <v>567</v>
      </c>
      <c r="B539" s="3">
        <v>2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</row>
    <row r="540" spans="1:17">
      <c r="A540" s="3" t="s">
        <v>568</v>
      </c>
      <c r="B540" s="3">
        <v>2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</row>
    <row r="541" spans="1:17">
      <c r="A541" s="3" t="s">
        <v>569</v>
      </c>
      <c r="B541" s="3">
        <v>2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</row>
    <row r="542" spans="1:17">
      <c r="A542" s="3" t="s">
        <v>570</v>
      </c>
      <c r="B542" s="3">
        <v>2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</row>
    <row r="543" spans="1:17">
      <c r="A543" s="3" t="s">
        <v>571</v>
      </c>
      <c r="B543" s="3">
        <v>2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</row>
    <row r="544" spans="1:17">
      <c r="A544" s="3" t="s">
        <v>572</v>
      </c>
      <c r="B544" s="3">
        <v>2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</row>
    <row r="545" spans="1:17">
      <c r="A545" s="3" t="s">
        <v>573</v>
      </c>
      <c r="B545" s="3">
        <v>2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</row>
    <row r="546" spans="1:17">
      <c r="A546" s="3" t="s">
        <v>574</v>
      </c>
      <c r="B546" s="3">
        <v>0</v>
      </c>
      <c r="C546" s="3">
        <v>2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</row>
    <row r="547" spans="1:17">
      <c r="A547" s="3" t="s">
        <v>575</v>
      </c>
      <c r="B547" s="3">
        <v>0</v>
      </c>
      <c r="C547" s="3">
        <v>2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</row>
    <row r="548" spans="1:17">
      <c r="A548" s="3" t="s">
        <v>576</v>
      </c>
      <c r="B548" s="3">
        <v>0</v>
      </c>
      <c r="C548" s="3">
        <v>0</v>
      </c>
      <c r="D548" s="3">
        <v>2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</row>
    <row r="549" spans="1:17">
      <c r="A549" s="3" t="s">
        <v>577</v>
      </c>
      <c r="B549" s="3">
        <v>0</v>
      </c>
      <c r="C549" s="3">
        <v>0</v>
      </c>
      <c r="D549" s="3">
        <v>2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</row>
    <row r="550" spans="1:17">
      <c r="A550" s="3" t="s">
        <v>578</v>
      </c>
      <c r="B550" s="3">
        <v>0</v>
      </c>
      <c r="C550" s="3">
        <v>0</v>
      </c>
      <c r="D550" s="3">
        <v>2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</row>
    <row r="551" spans="1:17">
      <c r="A551" s="3" t="s">
        <v>579</v>
      </c>
      <c r="B551" s="3">
        <v>0</v>
      </c>
      <c r="C551" s="3">
        <v>0</v>
      </c>
      <c r="D551" s="3">
        <v>0</v>
      </c>
      <c r="E551" s="3">
        <v>2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</row>
    <row r="552" spans="1:17">
      <c r="A552" s="3" t="s">
        <v>580</v>
      </c>
      <c r="B552" s="3">
        <v>0</v>
      </c>
      <c r="C552" s="3">
        <v>0</v>
      </c>
      <c r="D552" s="3">
        <v>0</v>
      </c>
      <c r="E552" s="3">
        <v>2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</row>
    <row r="553" spans="1:17">
      <c r="A553" s="3" t="s">
        <v>581</v>
      </c>
      <c r="B553" s="3">
        <v>0</v>
      </c>
      <c r="C553" s="3">
        <v>0</v>
      </c>
      <c r="D553" s="3">
        <v>0</v>
      </c>
      <c r="E553" s="3">
        <v>2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</row>
    <row r="554" spans="1:17">
      <c r="A554" s="3" t="s">
        <v>582</v>
      </c>
      <c r="B554" s="3">
        <v>0</v>
      </c>
      <c r="C554" s="3">
        <v>0</v>
      </c>
      <c r="D554" s="3">
        <v>0</v>
      </c>
      <c r="E554" s="3">
        <v>2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</row>
    <row r="555" spans="1:17">
      <c r="A555" s="3" t="s">
        <v>583</v>
      </c>
      <c r="B555" s="3">
        <v>0</v>
      </c>
      <c r="C555" s="3">
        <v>0</v>
      </c>
      <c r="D555" s="3">
        <v>0</v>
      </c>
      <c r="E555" s="3">
        <v>0</v>
      </c>
      <c r="F555" s="3">
        <v>2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</row>
    <row r="556" spans="1:17">
      <c r="A556" s="3" t="s">
        <v>584</v>
      </c>
      <c r="B556" s="3">
        <v>0</v>
      </c>
      <c r="C556" s="3">
        <v>0</v>
      </c>
      <c r="D556" s="3">
        <v>0</v>
      </c>
      <c r="E556" s="3">
        <v>0</v>
      </c>
      <c r="F556" s="3">
        <v>2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</row>
    <row r="557" spans="1:17">
      <c r="A557" s="3" t="s">
        <v>585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2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</row>
    <row r="558" spans="1:17">
      <c r="A558" s="3" t="s">
        <v>586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2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</row>
    <row r="559" spans="1:17">
      <c r="A559" s="3" t="s">
        <v>587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2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</row>
    <row r="560" spans="1:17">
      <c r="A560" s="3" t="s">
        <v>588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2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</row>
    <row r="561" spans="1:17">
      <c r="A561" s="3" t="s">
        <v>589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2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</row>
    <row r="562" spans="1:17">
      <c r="A562" s="3" t="s">
        <v>590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2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</row>
    <row r="563" spans="1:17">
      <c r="A563" s="3" t="s">
        <v>591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2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</row>
    <row r="564" spans="1:17">
      <c r="A564" s="3" t="s">
        <v>592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2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</row>
    <row r="565" spans="1:17">
      <c r="A565" s="3" t="s">
        <v>593</v>
      </c>
      <c r="B565" s="3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2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</row>
    <row r="566" spans="1:17">
      <c r="A566" s="3" t="s">
        <v>594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2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</row>
    <row r="567" spans="1:17">
      <c r="A567" s="3" t="s">
        <v>595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2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</row>
    <row r="568" spans="1:17">
      <c r="A568" s="3" t="s">
        <v>596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2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</row>
    <row r="569" spans="1:17">
      <c r="A569" s="3" t="s">
        <v>597</v>
      </c>
      <c r="B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2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</row>
    <row r="570" spans="1:17">
      <c r="A570" s="3" t="s">
        <v>598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2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</row>
    <row r="571" spans="1:17">
      <c r="A571" s="3" t="s">
        <v>599</v>
      </c>
      <c r="B571" s="3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2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</row>
    <row r="572" spans="1:17">
      <c r="A572" s="3" t="s">
        <v>600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2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</row>
    <row r="573" spans="1:17">
      <c r="A573" s="3" t="s">
        <v>601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2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</row>
    <row r="574" spans="1:17">
      <c r="A574" s="3" t="s">
        <v>602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2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</row>
    <row r="575" spans="1:17">
      <c r="A575" s="3" t="s">
        <v>603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2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</row>
    <row r="576" spans="1:17">
      <c r="A576" s="3" t="s">
        <v>604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2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</row>
    <row r="577" spans="1:17">
      <c r="A577" s="3" t="s">
        <v>605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2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</row>
    <row r="578" spans="1:17">
      <c r="A578" s="3" t="s">
        <v>606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2</v>
      </c>
      <c r="N578" s="3">
        <v>0</v>
      </c>
      <c r="O578" s="3">
        <v>0</v>
      </c>
      <c r="P578" s="3">
        <v>0</v>
      </c>
      <c r="Q578" s="3">
        <v>0</v>
      </c>
    </row>
    <row r="579" spans="1:17">
      <c r="A579" s="3" t="s">
        <v>607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2</v>
      </c>
      <c r="N579" s="3">
        <v>0</v>
      </c>
      <c r="O579" s="3">
        <v>0</v>
      </c>
      <c r="P579" s="3">
        <v>0</v>
      </c>
      <c r="Q579" s="3">
        <v>0</v>
      </c>
    </row>
    <row r="580" spans="1:17">
      <c r="A580" s="3" t="s">
        <v>608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2</v>
      </c>
      <c r="O580" s="3">
        <v>0</v>
      </c>
      <c r="P580" s="3">
        <v>0</v>
      </c>
      <c r="Q580" s="3">
        <v>0</v>
      </c>
    </row>
    <row r="581" spans="1:17">
      <c r="A581" s="3" t="s">
        <v>609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2</v>
      </c>
      <c r="O581" s="3">
        <v>0</v>
      </c>
      <c r="P581" s="3">
        <v>0</v>
      </c>
      <c r="Q581" s="3">
        <v>0</v>
      </c>
    </row>
    <row r="582" spans="1:17">
      <c r="A582" s="3" t="s">
        <v>610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2</v>
      </c>
      <c r="P582" s="3">
        <v>0</v>
      </c>
      <c r="Q582" s="3">
        <v>0</v>
      </c>
    </row>
    <row r="583" spans="1:17">
      <c r="A583" s="3" t="s">
        <v>611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2</v>
      </c>
      <c r="Q583" s="3">
        <v>0</v>
      </c>
    </row>
    <row r="584" spans="1:17">
      <c r="A584" s="3" t="s">
        <v>612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2</v>
      </c>
      <c r="Q584" s="3">
        <v>0</v>
      </c>
    </row>
    <row r="585" spans="1:17">
      <c r="A585" s="3" t="s">
        <v>613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2</v>
      </c>
      <c r="Q585" s="3">
        <v>0</v>
      </c>
    </row>
    <row r="586" spans="1:17">
      <c r="A586" s="3" t="s">
        <v>614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2</v>
      </c>
      <c r="Q586" s="3">
        <v>0</v>
      </c>
    </row>
    <row r="587" spans="1:17">
      <c r="A587" s="3" t="s">
        <v>615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2</v>
      </c>
      <c r="Q587" s="3">
        <v>0</v>
      </c>
    </row>
    <row r="588" spans="1:17">
      <c r="A588" s="3" t="s">
        <v>616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2</v>
      </c>
      <c r="Q588" s="3">
        <v>0</v>
      </c>
    </row>
    <row r="589" spans="1:17">
      <c r="A589" s="3" t="s">
        <v>617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2</v>
      </c>
    </row>
    <row r="590" spans="1:17">
      <c r="A590" s="3" t="s">
        <v>618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2</v>
      </c>
    </row>
    <row r="591" spans="1:17">
      <c r="A591" s="3" t="s">
        <v>619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2</v>
      </c>
    </row>
    <row r="592" spans="1:17">
      <c r="A592" s="3" t="s">
        <v>620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2</v>
      </c>
    </row>
    <row r="593" spans="1:17">
      <c r="A593" s="3" t="s">
        <v>621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2</v>
      </c>
    </row>
    <row r="594" spans="1:17">
      <c r="A594" s="3" t="s">
        <v>622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2</v>
      </c>
    </row>
    <row r="595" spans="1:17">
      <c r="A595" s="3" t="s">
        <v>623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2</v>
      </c>
    </row>
    <row r="596" spans="1:17">
      <c r="A596" s="3" t="s">
        <v>624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1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</row>
    <row r="597" spans="1:17">
      <c r="A597" s="3" t="s">
        <v>625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1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</row>
    <row r="598" spans="1:17">
      <c r="A598" s="3" t="s">
        <v>626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Read me</vt:lpstr>
      <vt:lpstr>Mock community</vt:lpstr>
      <vt:lpstr>VA group</vt:lpstr>
      <vt:lpstr>'Mock community'!Table6_data_for_ASV_abundance_Mock_sheet</vt:lpstr>
      <vt:lpstr>'VA group'!Table6_data_for_ASV_abundance_VA_group_sheet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Jianshi Frank JIN</dc:creator>
  <cp:lastModifiedBy>Frank Jin</cp:lastModifiedBy>
  <dcterms:created xsi:type="dcterms:W3CDTF">2021-10-27T00:25:38Z</dcterms:created>
  <dcterms:modified xsi:type="dcterms:W3CDTF">2022-01-15T06:46:20Z</dcterms:modified>
</cp:coreProperties>
</file>